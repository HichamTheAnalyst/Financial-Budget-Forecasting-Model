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700EEB1-9327-4F23-A92F-C40795B2BAA1}" xr6:coauthVersionLast="47" xr6:coauthVersionMax="47" xr10:uidLastSave="{00000000-0000-0000-0000-000000000000}"/>
  <bookViews>
    <workbookView xWindow="-108" yWindow="-108" windowWidth="23256" windowHeight="12576" activeTab="2" xr2:uid="{D39EE176-0C1D-3441-8EB4-571125E77837}"/>
  </bookViews>
  <sheets>
    <sheet name="Actual Expenses" sheetId="10" r:id="rId1"/>
    <sheet name="Forecast" sheetId="6" r:id="rId2"/>
    <sheet name="Income Statement" sheetId="8" r:id="rId3"/>
    <sheet name="Visuals" sheetId="9" state="hidden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8" l="1"/>
  <c r="F5" i="8" s="1"/>
  <c r="G5" i="8" s="1"/>
  <c r="H5" i="8" s="1"/>
  <c r="I5" i="8" s="1"/>
  <c r="J5" i="8" s="1"/>
  <c r="K5" i="8" s="1"/>
  <c r="L5" i="8" s="1"/>
  <c r="M5" i="8" s="1"/>
  <c r="N5" i="8" s="1"/>
  <c r="D5" i="8"/>
  <c r="I11" i="6"/>
  <c r="J11" i="6"/>
  <c r="K11" i="6"/>
  <c r="L11" i="6"/>
  <c r="M11" i="6"/>
  <c r="N11" i="6"/>
  <c r="O11" i="6"/>
  <c r="P11" i="6"/>
  <c r="Q11" i="6"/>
  <c r="R11" i="6"/>
  <c r="S11" i="6"/>
  <c r="T11" i="6"/>
  <c r="I12" i="6"/>
  <c r="J12" i="6"/>
  <c r="D12" i="8" s="1"/>
  <c r="K12" i="6"/>
  <c r="L12" i="6"/>
  <c r="M12" i="6"/>
  <c r="N12" i="6"/>
  <c r="O12" i="6"/>
  <c r="P12" i="6"/>
  <c r="Q12" i="6"/>
  <c r="R12" i="6"/>
  <c r="S12" i="6"/>
  <c r="T12" i="6"/>
  <c r="I13" i="6"/>
  <c r="J13" i="6"/>
  <c r="K13" i="6"/>
  <c r="L13" i="6"/>
  <c r="M13" i="6"/>
  <c r="N13" i="6"/>
  <c r="O13" i="6"/>
  <c r="P13" i="6"/>
  <c r="Q13" i="6"/>
  <c r="R13" i="6"/>
  <c r="S13" i="6"/>
  <c r="T13" i="6"/>
  <c r="I14" i="6"/>
  <c r="J14" i="6"/>
  <c r="D13" i="8" s="1"/>
  <c r="K14" i="6"/>
  <c r="L14" i="6"/>
  <c r="F13" i="8" s="1"/>
  <c r="M14" i="6"/>
  <c r="N14" i="6"/>
  <c r="O14" i="6"/>
  <c r="P14" i="6"/>
  <c r="Q14" i="6"/>
  <c r="R14" i="6"/>
  <c r="L13" i="8" s="1"/>
  <c r="S14" i="6"/>
  <c r="T14" i="6"/>
  <c r="N13" i="8" s="1"/>
  <c r="I15" i="6"/>
  <c r="J15" i="6"/>
  <c r="K15" i="6"/>
  <c r="L15" i="6"/>
  <c r="M15" i="6"/>
  <c r="N15" i="6"/>
  <c r="O15" i="6"/>
  <c r="P15" i="6"/>
  <c r="Q15" i="6"/>
  <c r="R15" i="6"/>
  <c r="S15" i="6"/>
  <c r="T15" i="6"/>
  <c r="I16" i="6"/>
  <c r="J16" i="6"/>
  <c r="D14" i="8" s="1"/>
  <c r="K16" i="6"/>
  <c r="L16" i="6"/>
  <c r="F14" i="8" s="1"/>
  <c r="M16" i="6"/>
  <c r="N16" i="6"/>
  <c r="O16" i="6"/>
  <c r="P16" i="6"/>
  <c r="Q16" i="6"/>
  <c r="R16" i="6"/>
  <c r="L14" i="8" s="1"/>
  <c r="S16" i="6"/>
  <c r="T16" i="6"/>
  <c r="N14" i="8" s="1"/>
  <c r="I17" i="6"/>
  <c r="J17" i="6"/>
  <c r="K17" i="6"/>
  <c r="L17" i="6"/>
  <c r="M17" i="6"/>
  <c r="N17" i="6"/>
  <c r="O17" i="6"/>
  <c r="P17" i="6"/>
  <c r="Q17" i="6"/>
  <c r="R17" i="6"/>
  <c r="S17" i="6"/>
  <c r="T17" i="6"/>
  <c r="J10" i="6"/>
  <c r="K10" i="6"/>
  <c r="E11" i="8" s="1"/>
  <c r="E30" i="8" s="1"/>
  <c r="E31" i="8" s="1"/>
  <c r="L10" i="6"/>
  <c r="M10" i="6"/>
  <c r="G11" i="8" s="1"/>
  <c r="G30" i="8" s="1"/>
  <c r="G31" i="8" s="1"/>
  <c r="N10" i="6"/>
  <c r="O10" i="6"/>
  <c r="P10" i="6"/>
  <c r="Q10" i="6"/>
  <c r="R10" i="6"/>
  <c r="S10" i="6"/>
  <c r="M11" i="8" s="1"/>
  <c r="M30" i="8" s="1"/>
  <c r="M31" i="8" s="1"/>
  <c r="T10" i="6"/>
  <c r="I10" i="6"/>
  <c r="C11" i="8" s="1"/>
  <c r="C30" i="8" s="1"/>
  <c r="C31" i="8" s="1"/>
  <c r="B11" i="8" a="1"/>
  <c r="B11" i="8" s="1"/>
  <c r="I47" i="6"/>
  <c r="J47" i="6"/>
  <c r="K47" i="6"/>
  <c r="L47" i="6"/>
  <c r="M47" i="6"/>
  <c r="N47" i="6"/>
  <c r="O47" i="6"/>
  <c r="P47" i="6"/>
  <c r="Q47" i="6"/>
  <c r="R47" i="6"/>
  <c r="S47" i="6"/>
  <c r="T47" i="6"/>
  <c r="I48" i="6"/>
  <c r="J48" i="6"/>
  <c r="K48" i="6"/>
  <c r="L48" i="6"/>
  <c r="M48" i="6"/>
  <c r="N48" i="6"/>
  <c r="O48" i="6"/>
  <c r="P48" i="6"/>
  <c r="Q48" i="6"/>
  <c r="R48" i="6"/>
  <c r="S48" i="6"/>
  <c r="T48" i="6"/>
  <c r="I49" i="6"/>
  <c r="J49" i="6"/>
  <c r="K49" i="6"/>
  <c r="L49" i="6"/>
  <c r="M49" i="6"/>
  <c r="N49" i="6"/>
  <c r="O49" i="6"/>
  <c r="P49" i="6"/>
  <c r="Q49" i="6"/>
  <c r="R49" i="6"/>
  <c r="S49" i="6"/>
  <c r="T49" i="6"/>
  <c r="I50" i="6"/>
  <c r="J50" i="6"/>
  <c r="K50" i="6"/>
  <c r="L50" i="6"/>
  <c r="M50" i="6"/>
  <c r="N50" i="6"/>
  <c r="O50" i="6"/>
  <c r="P50" i="6"/>
  <c r="Q50" i="6"/>
  <c r="R50" i="6"/>
  <c r="S50" i="6"/>
  <c r="T50" i="6"/>
  <c r="I51" i="6"/>
  <c r="J51" i="6"/>
  <c r="K51" i="6"/>
  <c r="L51" i="6"/>
  <c r="M51" i="6"/>
  <c r="N51" i="6"/>
  <c r="O51" i="6"/>
  <c r="P51" i="6"/>
  <c r="Q51" i="6"/>
  <c r="R51" i="6"/>
  <c r="S51" i="6"/>
  <c r="T51" i="6"/>
  <c r="I52" i="6"/>
  <c r="J52" i="6"/>
  <c r="K52" i="6"/>
  <c r="L52" i="6"/>
  <c r="M52" i="6"/>
  <c r="N52" i="6"/>
  <c r="O52" i="6"/>
  <c r="P52" i="6"/>
  <c r="Q52" i="6"/>
  <c r="R52" i="6"/>
  <c r="S52" i="6"/>
  <c r="T52" i="6"/>
  <c r="I53" i="6"/>
  <c r="J53" i="6"/>
  <c r="K53" i="6"/>
  <c r="L53" i="6"/>
  <c r="M53" i="6"/>
  <c r="N53" i="6"/>
  <c r="O53" i="6"/>
  <c r="P53" i="6"/>
  <c r="Q53" i="6"/>
  <c r="R53" i="6"/>
  <c r="S53" i="6"/>
  <c r="T53" i="6"/>
  <c r="J46" i="6"/>
  <c r="K46" i="6"/>
  <c r="L46" i="6"/>
  <c r="M46" i="6"/>
  <c r="N46" i="6"/>
  <c r="O46" i="6"/>
  <c r="P46" i="6"/>
  <c r="Q46" i="6"/>
  <c r="R46" i="6"/>
  <c r="S46" i="6"/>
  <c r="T46" i="6"/>
  <c r="I46" i="6"/>
  <c r="E9" i="6"/>
  <c r="E45" i="6"/>
  <c r="E34" i="6"/>
  <c r="F21" i="6"/>
  <c r="G21" i="6" s="1"/>
  <c r="H21" i="6" s="1"/>
  <c r="I45" i="6" s="1"/>
  <c r="E21" i="6"/>
  <c r="F9" i="6" s="1"/>
  <c r="G5" i="10"/>
  <c r="H5" i="10" s="1"/>
  <c r="F5" i="10"/>
  <c r="E5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D11" i="8" l="1"/>
  <c r="D30" i="8" s="1"/>
  <c r="D31" i="8" s="1"/>
  <c r="D6" i="8" s="1"/>
  <c r="L12" i="8"/>
  <c r="L11" i="8"/>
  <c r="L30" i="8" s="1"/>
  <c r="L31" i="8" s="1"/>
  <c r="L35" i="8" s="1"/>
  <c r="I12" i="8"/>
  <c r="M35" i="8"/>
  <c r="M6" i="8"/>
  <c r="E35" i="8"/>
  <c r="E6" i="8"/>
  <c r="C35" i="8"/>
  <c r="C6" i="8"/>
  <c r="C3" i="9" s="1"/>
  <c r="G35" i="8"/>
  <c r="G6" i="8"/>
  <c r="N12" i="8"/>
  <c r="F12" i="8"/>
  <c r="N11" i="8"/>
  <c r="N30" i="8" s="1"/>
  <c r="N31" i="8" s="1"/>
  <c r="F11" i="8"/>
  <c r="F30" i="8" s="1"/>
  <c r="F31" i="8" s="1"/>
  <c r="J11" i="8"/>
  <c r="J30" i="8" s="1"/>
  <c r="J31" i="8" s="1"/>
  <c r="M14" i="8"/>
  <c r="C14" i="8"/>
  <c r="C13" i="8"/>
  <c r="K12" i="8"/>
  <c r="C12" i="8"/>
  <c r="K14" i="8"/>
  <c r="K13" i="8"/>
  <c r="K11" i="8"/>
  <c r="K30" i="8" s="1"/>
  <c r="K31" i="8" s="1"/>
  <c r="I13" i="8"/>
  <c r="I11" i="8"/>
  <c r="I30" i="8" s="1"/>
  <c r="I31" i="8" s="1"/>
  <c r="H14" i="8"/>
  <c r="H13" i="8"/>
  <c r="H12" i="8"/>
  <c r="H11" i="8"/>
  <c r="H30" i="8" s="1"/>
  <c r="H31" i="8" s="1"/>
  <c r="G14" i="8"/>
  <c r="G13" i="8"/>
  <c r="G12" i="8"/>
  <c r="E14" i="8"/>
  <c r="M13" i="8"/>
  <c r="E13" i="8"/>
  <c r="M12" i="8"/>
  <c r="E12" i="8"/>
  <c r="J14" i="8"/>
  <c r="J13" i="8"/>
  <c r="J12" i="8"/>
  <c r="I14" i="8"/>
  <c r="F45" i="6"/>
  <c r="H34" i="6"/>
  <c r="H9" i="6"/>
  <c r="G45" i="6"/>
  <c r="I34" i="6"/>
  <c r="I21" i="6"/>
  <c r="F34" i="6"/>
  <c r="H45" i="6"/>
  <c r="G34" i="6"/>
  <c r="G9" i="6"/>
  <c r="I9" i="6"/>
  <c r="I35" i="6"/>
  <c r="I38" i="6"/>
  <c r="I37" i="6"/>
  <c r="I36" i="6"/>
  <c r="I42" i="6"/>
  <c r="I41" i="6"/>
  <c r="I40" i="6"/>
  <c r="I39" i="6"/>
  <c r="L15" i="8" l="1"/>
  <c r="L6" i="8"/>
  <c r="C15" i="8"/>
  <c r="D15" i="8"/>
  <c r="D35" i="8"/>
  <c r="D38" i="8" s="1"/>
  <c r="D18" i="8" s="1"/>
  <c r="N15" i="8"/>
  <c r="N35" i="8"/>
  <c r="N6" i="8"/>
  <c r="F35" i="8"/>
  <c r="F6" i="8"/>
  <c r="L38" i="8"/>
  <c r="L18" i="8" s="1"/>
  <c r="L7" i="8"/>
  <c r="F15" i="8"/>
  <c r="E38" i="8"/>
  <c r="E18" i="8" s="1"/>
  <c r="E7" i="8"/>
  <c r="E8" i="8" s="1"/>
  <c r="I35" i="8"/>
  <c r="I6" i="8"/>
  <c r="K6" i="8"/>
  <c r="K35" i="8"/>
  <c r="H35" i="8"/>
  <c r="H6" i="8"/>
  <c r="G7" i="8"/>
  <c r="G8" i="8" s="1"/>
  <c r="G38" i="8"/>
  <c r="G18" i="8" s="1"/>
  <c r="M38" i="8"/>
  <c r="M18" i="8" s="1"/>
  <c r="M7" i="8"/>
  <c r="M8" i="8" s="1"/>
  <c r="J6" i="8"/>
  <c r="J35" i="8"/>
  <c r="C38" i="8"/>
  <c r="C18" i="8" s="1"/>
  <c r="C7" i="8"/>
  <c r="C8" i="8" s="1"/>
  <c r="G15" i="8"/>
  <c r="M15" i="8"/>
  <c r="K15" i="8"/>
  <c r="E15" i="8"/>
  <c r="I15" i="8"/>
  <c r="J15" i="8"/>
  <c r="H15" i="8"/>
  <c r="I26" i="6"/>
  <c r="I27" i="6"/>
  <c r="I28" i="6"/>
  <c r="I29" i="6"/>
  <c r="I23" i="6"/>
  <c r="I24" i="6"/>
  <c r="I25" i="6"/>
  <c r="I22" i="6"/>
  <c r="J45" i="6"/>
  <c r="J9" i="6"/>
  <c r="J34" i="6"/>
  <c r="J21" i="6"/>
  <c r="D3" i="9"/>
  <c r="J35" i="6"/>
  <c r="J36" i="6"/>
  <c r="J41" i="6"/>
  <c r="J38" i="6"/>
  <c r="J39" i="6"/>
  <c r="J37" i="6"/>
  <c r="J40" i="6"/>
  <c r="J42" i="6"/>
  <c r="D7" i="8" l="1"/>
  <c r="D8" i="8" s="1"/>
  <c r="D16" i="8" s="1"/>
  <c r="D19" i="8" s="1"/>
  <c r="L8" i="8"/>
  <c r="L16" i="8" s="1"/>
  <c r="L19" i="8" s="1"/>
  <c r="C16" i="8"/>
  <c r="C19" i="8" s="1"/>
  <c r="G16" i="8"/>
  <c r="G19" i="8" s="1"/>
  <c r="E16" i="8"/>
  <c r="E19" i="8" s="1"/>
  <c r="N38" i="8"/>
  <c r="N18" i="8" s="1"/>
  <c r="N7" i="8"/>
  <c r="N8" i="8" s="1"/>
  <c r="N16" i="8" s="1"/>
  <c r="M16" i="8"/>
  <c r="M19" i="8" s="1"/>
  <c r="M21" i="8" s="1"/>
  <c r="J38" i="8"/>
  <c r="J18" i="8" s="1"/>
  <c r="J7" i="8"/>
  <c r="J8" i="8" s="1"/>
  <c r="J16" i="8" s="1"/>
  <c r="H7" i="8"/>
  <c r="H8" i="8" s="1"/>
  <c r="H16" i="8" s="1"/>
  <c r="H38" i="8"/>
  <c r="H18" i="8" s="1"/>
  <c r="K38" i="8"/>
  <c r="K18" i="8" s="1"/>
  <c r="K7" i="8"/>
  <c r="K8" i="8" s="1"/>
  <c r="K16" i="8" s="1"/>
  <c r="F38" i="8"/>
  <c r="F18" i="8" s="1"/>
  <c r="F7" i="8"/>
  <c r="F8" i="8" s="1"/>
  <c r="F16" i="8" s="1"/>
  <c r="I7" i="8"/>
  <c r="I8" i="8" s="1"/>
  <c r="I16" i="8" s="1"/>
  <c r="I38" i="8"/>
  <c r="I18" i="8" s="1"/>
  <c r="J29" i="6"/>
  <c r="J27" i="6"/>
  <c r="J24" i="6"/>
  <c r="J26" i="6"/>
  <c r="J25" i="6"/>
  <c r="J28" i="6"/>
  <c r="J23" i="6"/>
  <c r="J22" i="6"/>
  <c r="K21" i="6"/>
  <c r="K45" i="6"/>
  <c r="K9" i="6"/>
  <c r="K34" i="6"/>
  <c r="E3" i="9"/>
  <c r="K36" i="6"/>
  <c r="K41" i="6"/>
  <c r="K39" i="6"/>
  <c r="K35" i="6"/>
  <c r="K38" i="6"/>
  <c r="K37" i="6"/>
  <c r="K40" i="6"/>
  <c r="K42" i="6"/>
  <c r="G21" i="8" l="1"/>
  <c r="G22" i="8" s="1"/>
  <c r="D21" i="8"/>
  <c r="D22" i="8" s="1"/>
  <c r="D4" i="9" s="1"/>
  <c r="L21" i="8"/>
  <c r="L22" i="8" s="1"/>
  <c r="E21" i="8"/>
  <c r="E22" i="8" s="1"/>
  <c r="C21" i="8"/>
  <c r="C22" i="8" s="1"/>
  <c r="C4" i="9" s="1"/>
  <c r="J19" i="8"/>
  <c r="K19" i="8"/>
  <c r="N19" i="8"/>
  <c r="H19" i="8"/>
  <c r="H21" i="8" s="1"/>
  <c r="F19" i="8"/>
  <c r="M22" i="8"/>
  <c r="I19" i="8"/>
  <c r="I21" i="8" s="1"/>
  <c r="K29" i="6"/>
  <c r="K27" i="6"/>
  <c r="K24" i="6"/>
  <c r="K25" i="6"/>
  <c r="K22" i="6"/>
  <c r="K26" i="6"/>
  <c r="K28" i="6"/>
  <c r="K23" i="6"/>
  <c r="L21" i="6"/>
  <c r="L45" i="6"/>
  <c r="L9" i="6"/>
  <c r="L34" i="6"/>
  <c r="F3" i="9"/>
  <c r="L36" i="6"/>
  <c r="L41" i="6"/>
  <c r="L39" i="6"/>
  <c r="L38" i="6"/>
  <c r="L37" i="6"/>
  <c r="L35" i="6"/>
  <c r="L40" i="6"/>
  <c r="L42" i="6"/>
  <c r="H22" i="8" l="1"/>
  <c r="F21" i="8"/>
  <c r="F22" i="8" s="1"/>
  <c r="K21" i="8"/>
  <c r="K22" i="8" s="1"/>
  <c r="J21" i="8"/>
  <c r="J22" i="8" s="1"/>
  <c r="N21" i="8"/>
  <c r="N22" i="8" s="1"/>
  <c r="I22" i="8"/>
  <c r="L29" i="6"/>
  <c r="L27" i="6"/>
  <c r="L22" i="6"/>
  <c r="L24" i="6"/>
  <c r="L25" i="6"/>
  <c r="L26" i="6"/>
  <c r="L28" i="6"/>
  <c r="L23" i="6"/>
  <c r="M21" i="6"/>
  <c r="M34" i="6"/>
  <c r="M45" i="6"/>
  <c r="M9" i="6"/>
  <c r="G3" i="9"/>
  <c r="E4" i="9"/>
  <c r="M41" i="6"/>
  <c r="M36" i="6"/>
  <c r="M38" i="6"/>
  <c r="M39" i="6"/>
  <c r="M37" i="6"/>
  <c r="M35" i="6"/>
  <c r="M40" i="6"/>
  <c r="M42" i="6"/>
  <c r="M29" i="6" l="1"/>
  <c r="M27" i="6"/>
  <c r="M22" i="6"/>
  <c r="M24" i="6"/>
  <c r="M26" i="6"/>
  <c r="M25" i="6"/>
  <c r="M23" i="6"/>
  <c r="M28" i="6"/>
  <c r="N21" i="6"/>
  <c r="N9" i="6"/>
  <c r="N34" i="6"/>
  <c r="N45" i="6"/>
  <c r="G4" i="9"/>
  <c r="F4" i="9"/>
  <c r="H3" i="9"/>
  <c r="N36" i="6"/>
  <c r="N41" i="6"/>
  <c r="N38" i="6"/>
  <c r="N37" i="6"/>
  <c r="N39" i="6"/>
  <c r="N40" i="6"/>
  <c r="N35" i="6"/>
  <c r="N42" i="6"/>
  <c r="N29" i="6" l="1"/>
  <c r="N22" i="6"/>
  <c r="N27" i="6"/>
  <c r="N26" i="6"/>
  <c r="N24" i="6"/>
  <c r="N25" i="6"/>
  <c r="N28" i="6"/>
  <c r="N23" i="6"/>
  <c r="O21" i="6"/>
  <c r="O34" i="6"/>
  <c r="O45" i="6"/>
  <c r="O9" i="6"/>
  <c r="I3" i="9"/>
  <c r="O36" i="6"/>
  <c r="O41" i="6"/>
  <c r="O38" i="6"/>
  <c r="O37" i="6"/>
  <c r="O40" i="6"/>
  <c r="O39" i="6"/>
  <c r="O35" i="6"/>
  <c r="O42" i="6"/>
  <c r="O29" i="6" l="1"/>
  <c r="O22" i="6"/>
  <c r="O26" i="6"/>
  <c r="O27" i="6"/>
  <c r="O24" i="6"/>
  <c r="O25" i="6"/>
  <c r="O28" i="6"/>
  <c r="O23" i="6"/>
  <c r="P21" i="6"/>
  <c r="P34" i="6"/>
  <c r="P9" i="6"/>
  <c r="P45" i="6"/>
  <c r="H4" i="9"/>
  <c r="J3" i="9"/>
  <c r="P40" i="6"/>
  <c r="P36" i="6"/>
  <c r="P41" i="6"/>
  <c r="P38" i="6"/>
  <c r="P39" i="6"/>
  <c r="P37" i="6"/>
  <c r="P42" i="6"/>
  <c r="P35" i="6"/>
  <c r="P22" i="6" l="1"/>
  <c r="P29" i="6"/>
  <c r="P24" i="6"/>
  <c r="P26" i="6"/>
  <c r="P25" i="6"/>
  <c r="P28" i="6"/>
  <c r="P23" i="6"/>
  <c r="P27" i="6"/>
  <c r="Q21" i="6"/>
  <c r="Q45" i="6"/>
  <c r="Q9" i="6"/>
  <c r="Q34" i="6"/>
  <c r="K3" i="9"/>
  <c r="I4" i="9"/>
  <c r="Q38" i="6"/>
  <c r="Q36" i="6"/>
  <c r="Q41" i="6"/>
  <c r="Q39" i="6"/>
  <c r="Q37" i="6"/>
  <c r="Q40" i="6"/>
  <c r="Q42" i="6"/>
  <c r="Q35" i="6"/>
  <c r="Q22" i="6" l="1"/>
  <c r="Q29" i="6"/>
  <c r="Q27" i="6"/>
  <c r="Q24" i="6"/>
  <c r="Q26" i="6"/>
  <c r="Q28" i="6"/>
  <c r="Q23" i="6"/>
  <c r="Q25" i="6"/>
  <c r="R21" i="6"/>
  <c r="R45" i="6"/>
  <c r="R9" i="6"/>
  <c r="R34" i="6"/>
  <c r="L3" i="9"/>
  <c r="J4" i="9"/>
  <c r="R38" i="6"/>
  <c r="R36" i="6"/>
  <c r="R41" i="6"/>
  <c r="R39" i="6"/>
  <c r="R37" i="6"/>
  <c r="R42" i="6"/>
  <c r="R40" i="6"/>
  <c r="R35" i="6"/>
  <c r="R22" i="6" l="1"/>
  <c r="R27" i="6"/>
  <c r="R29" i="6"/>
  <c r="R24" i="6"/>
  <c r="R26" i="6"/>
  <c r="R28" i="6"/>
  <c r="R23" i="6"/>
  <c r="R25" i="6"/>
  <c r="S45" i="6"/>
  <c r="S9" i="6"/>
  <c r="S21" i="6"/>
  <c r="S34" i="6"/>
  <c r="K4" i="9"/>
  <c r="M3" i="9"/>
  <c r="N3" i="9"/>
  <c r="S42" i="6"/>
  <c r="S36" i="6"/>
  <c r="S38" i="6"/>
  <c r="S41" i="6"/>
  <c r="S39" i="6"/>
  <c r="S37" i="6"/>
  <c r="S40" i="6"/>
  <c r="S35" i="6"/>
  <c r="S22" i="6" l="1"/>
  <c r="S27" i="6"/>
  <c r="S24" i="6"/>
  <c r="S26" i="6"/>
  <c r="S28" i="6"/>
  <c r="S25" i="6"/>
  <c r="S23" i="6"/>
  <c r="S29" i="6"/>
  <c r="T21" i="6"/>
  <c r="T9" i="6"/>
  <c r="T45" i="6"/>
  <c r="T34" i="6"/>
  <c r="L4" i="9"/>
  <c r="M4" i="9"/>
  <c r="T39" i="6"/>
  <c r="T38" i="6"/>
  <c r="T41" i="6"/>
  <c r="T36" i="6"/>
  <c r="T37" i="6"/>
  <c r="T40" i="6"/>
  <c r="T35" i="6"/>
  <c r="T42" i="6"/>
  <c r="T29" i="6" l="1"/>
  <c r="T22" i="6"/>
  <c r="T27" i="6"/>
  <c r="T24" i="6"/>
  <c r="T23" i="6"/>
  <c r="T28" i="6"/>
  <c r="T25" i="6"/>
  <c r="T26" i="6"/>
  <c r="N4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<sst xmlns="http://schemas.openxmlformats.org/spreadsheetml/2006/main" count="146" uniqueCount="48">
  <si>
    <t>Start Date</t>
  </si>
  <si>
    <t>Account #</t>
  </si>
  <si>
    <t>Description</t>
  </si>
  <si>
    <t>Department</t>
  </si>
  <si>
    <t>Marketing</t>
  </si>
  <si>
    <t>Engineering</t>
  </si>
  <si>
    <t>Support</t>
  </si>
  <si>
    <t>HR</t>
  </si>
  <si>
    <t>Paid Ads</t>
  </si>
  <si>
    <t>Infuencers</t>
  </si>
  <si>
    <t>Consulting</t>
  </si>
  <si>
    <t>Travel</t>
  </si>
  <si>
    <t>Recruiting Events</t>
  </si>
  <si>
    <t>Meetups</t>
  </si>
  <si>
    <t>Software</t>
  </si>
  <si>
    <t>Call Center</t>
  </si>
  <si>
    <t>Actuals</t>
  </si>
  <si>
    <t>Forecast</t>
  </si>
  <si>
    <t>1. Best Case</t>
  </si>
  <si>
    <t>2. Base Case</t>
  </si>
  <si>
    <t>3. Worst Case</t>
  </si>
  <si>
    <t>Revenue</t>
  </si>
  <si>
    <t>COGS</t>
  </si>
  <si>
    <t>Gross Profit</t>
  </si>
  <si>
    <t>Total operating expenses</t>
  </si>
  <si>
    <t>Operating expenses:</t>
  </si>
  <si>
    <t>Operating income</t>
  </si>
  <si>
    <t>Other income / (expense), net</t>
  </si>
  <si>
    <t>Pre-tax income</t>
  </si>
  <si>
    <t>Taxes</t>
  </si>
  <si>
    <t>Net Income</t>
  </si>
  <si>
    <t>Operating Expenses Scenario</t>
  </si>
  <si>
    <t>Income Statement Forecast</t>
  </si>
  <si>
    <t>in USD</t>
  </si>
  <si>
    <t>x</t>
  </si>
  <si>
    <t>Assumptions</t>
  </si>
  <si>
    <t>Customer Acquisition Cost</t>
  </si>
  <si>
    <t>Price</t>
  </si>
  <si>
    <t>Tax Rate</t>
  </si>
  <si>
    <t>Other</t>
  </si>
  <si>
    <t>COGS % of Revenue</t>
  </si>
  <si>
    <t>Other income / (expense), net % of COGS</t>
  </si>
  <si>
    <t>Profit Margin</t>
  </si>
  <si>
    <t>Actual Operating Expenses</t>
  </si>
  <si>
    <t>Units Sold</t>
  </si>
  <si>
    <t xml:space="preserve">1. </t>
  </si>
  <si>
    <t>best</t>
  </si>
  <si>
    <t>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</si>
</sst>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C09]#,##0"/>
    <numFmt numFmtId="165" formatCode="[$$-C09]#,##0.00"/>
    <numFmt numFmtId="166" formatCode="0.0%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  <font>
      <b/>
      <sz val="12"/>
      <color rgb="FF0432FF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9" fillId="7" borderId="0" applyNumberFormat="0" applyBorder="0" applyAlignment="0" applyProtection="0"/>
  </cellStyleXfs>
  <cellXfs count="36">
    <xf numFmtId="0" fontId="0" fillId="0" borderId="0" xfId="0"/>
    <xf numFmtId="165" fontId="0" fillId="0" borderId="0" xfId="0" applyNumberFormat="1"/>
    <xf numFmtId="0" fontId="0" fillId="2" borderId="0" xfId="0" applyFill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0" fontId="5" fillId="0" borderId="0" xfId="0" applyFont="1"/>
    <xf numFmtId="17" fontId="2" fillId="2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horizontal="left" indent="1"/>
    </xf>
    <xf numFmtId="17" fontId="2" fillId="2" borderId="0" xfId="0" applyNumberFormat="1" applyFont="1" applyFill="1" applyAlignment="1">
      <alignment horizontal="left"/>
    </xf>
    <xf numFmtId="17" fontId="2" fillId="4" borderId="0" xfId="0" applyNumberFormat="1" applyFont="1" applyFill="1" applyAlignment="1">
      <alignment horizontal="center"/>
    </xf>
    <xf numFmtId="17" fontId="2" fillId="4" borderId="0" xfId="0" applyNumberFormat="1" applyFont="1" applyFill="1" applyAlignment="1">
      <alignment horizontal="left"/>
    </xf>
    <xf numFmtId="0" fontId="5" fillId="0" borderId="2" xfId="0" applyFont="1" applyBorder="1"/>
    <xf numFmtId="0" fontId="2" fillId="2" borderId="0" xfId="0" applyFont="1" applyFill="1"/>
    <xf numFmtId="0" fontId="2" fillId="4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/>
    <xf numFmtId="0" fontId="6" fillId="0" borderId="0" xfId="0" applyFont="1"/>
    <xf numFmtId="9" fontId="6" fillId="0" borderId="0" xfId="0" applyNumberFormat="1" applyFont="1"/>
    <xf numFmtId="3" fontId="6" fillId="0" borderId="0" xfId="0" applyNumberFormat="1" applyFont="1" applyAlignment="1">
      <alignment horizontal="center"/>
    </xf>
    <xf numFmtId="3" fontId="0" fillId="0" borderId="0" xfId="0" applyNumberFormat="1" applyAlignment="1">
      <alignment horizontal="right"/>
    </xf>
    <xf numFmtId="166" fontId="6" fillId="0" borderId="0" xfId="0" applyNumberFormat="1" applyFont="1"/>
    <xf numFmtId="3" fontId="5" fillId="0" borderId="2" xfId="0" applyNumberFormat="1" applyFont="1" applyBorder="1"/>
    <xf numFmtId="3" fontId="5" fillId="3" borderId="3" xfId="0" applyNumberFormat="1" applyFont="1" applyFill="1" applyBorder="1"/>
    <xf numFmtId="3" fontId="5" fillId="0" borderId="2" xfId="0" applyNumberFormat="1" applyFont="1" applyBorder="1" applyAlignment="1">
      <alignment horizontal="right"/>
    </xf>
    <xf numFmtId="0" fontId="5" fillId="5" borderId="0" xfId="0" applyFont="1" applyFill="1"/>
    <xf numFmtId="17" fontId="7" fillId="3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165" fontId="8" fillId="2" borderId="0" xfId="0" applyNumberFormat="1" applyFont="1" applyFill="1"/>
    <xf numFmtId="0" fontId="8" fillId="2" borderId="0" xfId="0" applyFont="1" applyFill="1"/>
    <xf numFmtId="166" fontId="0" fillId="0" borderId="0" xfId="4" applyNumberFormat="1" applyFont="1"/>
    <xf numFmtId="0" fontId="2" fillId="6" borderId="0" xfId="0" applyFont="1" applyFill="1"/>
    <xf numFmtId="0" fontId="2" fillId="7" borderId="1" xfId="5" applyFont="1" applyBorder="1"/>
    <xf numFmtId="9" fontId="2" fillId="7" borderId="1" xfId="5" applyNumberFormat="1" applyFont="1" applyBorder="1" applyAlignment="1">
      <alignment horizontal="left" indent="1"/>
    </xf>
  </cellXfs>
  <cellStyles count="6">
    <cellStyle name="Accent1" xfId="5" builtinId="29"/>
    <cellStyle name="Hyperlink 2" xfId="2" xr:uid="{76C7EFDB-D734-E64A-BE2A-5F803D87771B}"/>
    <cellStyle name="Hyperlink 3" xfId="3" xr:uid="{292A2F43-B0A1-494A-A92B-F4FD9D356A3B}"/>
    <cellStyle name="Normal" xfId="0" builtinId="0"/>
    <cellStyle name="Normal 2" xfId="1" xr:uid="{1978511A-B413-FC40-B397-50C346EB00B3}"/>
    <cellStyle name="Percent" xfId="4" builtinId="5"/>
  </cellStyles>
  <dxfs count="0"/>
  <tableStyles count="0" defaultTableStyle="TableStyleMedium2" defaultPivotStyle="PivotStyleLight16"/>
  <colors>
    <mruColors>
      <color rgb="FF073673"/>
      <color rgb="FFFFFF99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Visuals!$B$3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73673"/>
            </a:solidFill>
            <a:ln>
              <a:noFill/>
            </a:ln>
            <a:effectLst/>
          </c:spPr>
          <c:invertIfNegative val="0"/>
          <c:cat>
            <c:numRef>
              <c:f>Visuals!$C$2:$N$2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Visuals!$C$3:$N$3</c:f>
              <c:numCache>
                <c:formatCode>#,##0</c:formatCode>
                <c:ptCount val="12"/>
                <c:pt idx="0">
                  <c:v>8268438.8816474956</c:v>
                </c:pt>
                <c:pt idx="1">
                  <c:v>8136334.748710365</c:v>
                </c:pt>
                <c:pt idx="2">
                  <c:v>8124943.0788849154</c:v>
                </c:pt>
                <c:pt idx="3">
                  <c:v>7981736.2600828195</c:v>
                </c:pt>
                <c:pt idx="4">
                  <c:v>7968651.7666257909</c:v>
                </c:pt>
                <c:pt idx="5">
                  <c:v>9019249.1941118725</c:v>
                </c:pt>
                <c:pt idx="6">
                  <c:v>8969255.7369009405</c:v>
                </c:pt>
                <c:pt idx="7">
                  <c:v>8823146.6694426648</c:v>
                </c:pt>
                <c:pt idx="8">
                  <c:v>8778186.3178997412</c:v>
                </c:pt>
                <c:pt idx="9">
                  <c:v>8625107.0963185392</c:v>
                </c:pt>
                <c:pt idx="10">
                  <c:v>8604863.8829562441</c:v>
                </c:pt>
                <c:pt idx="11">
                  <c:v>8436774.4462638255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D-482D-BD2F-442FF2D99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5671215"/>
        <c:axId val="955671695"/>
      </c:barChart>
      <c:lineChart>
        <c:grouping val="standard"/>
        <c:varyColors val="0"/>
        <c:ser>
          <c:idx val="1"/>
          <c:order val="1"/>
          <c:tx>
            <c:strRef>
              <c:f>Visuals!$B$4</c:f>
              <c:strCache>
                <c:ptCount val="1"/>
                <c:pt idx="0">
                  <c:v>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Visuals!$C$2:$N$2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Visuals!$C$4:$N$4</c:f>
              <c:numCache>
                <c:formatCode>0.0%</c:formatCode>
                <c:ptCount val="12"/>
                <c:pt idx="0">
                  <c:v>2.8804005742256632E-2</c:v>
                </c:pt>
                <c:pt idx="1">
                  <c:v>2.2314708340192928E-2</c:v>
                </c:pt>
                <c:pt idx="2">
                  <c:v>1.8981007114959925E-2</c:v>
                </c:pt>
                <c:pt idx="3">
                  <c:v>1.2103807488790379E-2</c:v>
                </c:pt>
                <c:pt idx="4">
                  <c:v>8.9851657538459195E-3</c:v>
                </c:pt>
                <c:pt idx="5">
                  <c:v>6.8718101343644783E-2</c:v>
                </c:pt>
                <c:pt idx="6">
                  <c:v>6.3893356439448573E-2</c:v>
                </c:pt>
                <c:pt idx="7">
                  <c:v>5.7791554043731798E-2</c:v>
                </c:pt>
                <c:pt idx="8">
                  <c:v>5.4148585639254662E-2</c:v>
                </c:pt>
                <c:pt idx="9">
                  <c:v>4.7930887955126601E-2</c:v>
                </c:pt>
                <c:pt idx="10">
                  <c:v>4.4186290991003165E-2</c:v>
                </c:pt>
                <c:pt idx="11">
                  <c:v>3.6715440763366192E-2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8D-482D-BD2F-442FF2D99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442463"/>
        <c:axId val="607441503"/>
      </c:lineChart>
      <c:dateAx>
        <c:axId val="95567121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671695"/>
        <c:crosses val="autoZero"/>
        <c:auto val="1"/>
        <c:lblOffset val="100"/>
        <c:baseTimeUnit val="months"/>
      </c:dateAx>
      <c:valAx>
        <c:axId val="95567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671215"/>
        <c:crosses val="autoZero"/>
        <c:crossBetween val="between"/>
      </c:valAx>
      <c:valAx>
        <c:axId val="607441503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442463"/>
        <c:crosses val="max"/>
        <c:crossBetween val="between"/>
      </c:valAx>
      <c:dateAx>
        <c:axId val="60744246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60744150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19878</xdr:colOff>
      <xdr:row>4</xdr:row>
      <xdr:rowOff>106018</xdr:rowOff>
    </xdr:from>
    <xdr:to>
      <xdr:col>14</xdr:col>
      <xdr:colOff>13252</xdr:colOff>
      <xdr:row>17</xdr:row>
      <xdr:rowOff>13253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E0168B-2FA6-CC51-98AF-CEF1DEE7C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1F39-9ED4-4621-A069-61315A9626F2}">
  <dimension ref="B2:H13"/>
  <sheetViews>
    <sheetView zoomScale="115" zoomScaleNormal="115" workbookViewId="0">
      <selection activeCell="E18" sqref="E18"/>
    </sheetView>
  </sheetViews>
  <sheetFormatPr defaultColWidth="8.796875" defaultRowHeight="15.6" x14ac:dyDescent="0.3"/>
  <cols>
    <col min="1" max="1" width="2.69921875" customWidth="1"/>
    <col min="2" max="2" width="10.19921875" customWidth="1"/>
    <col min="3" max="3" width="11.19921875" bestFit="1" customWidth="1"/>
    <col min="4" max="4" width="15.296875" bestFit="1" customWidth="1"/>
  </cols>
  <sheetData>
    <row r="2" spans="2:8" x14ac:dyDescent="0.3">
      <c r="B2" s="29" t="s">
        <v>0</v>
      </c>
      <c r="C2" s="28">
        <v>45536</v>
      </c>
    </row>
    <row r="4" spans="2:8" x14ac:dyDescent="0.3">
      <c r="B4" s="15" t="s">
        <v>43</v>
      </c>
      <c r="C4" s="2"/>
      <c r="D4" s="2"/>
      <c r="E4" s="2"/>
      <c r="F4" s="2"/>
      <c r="G4" s="2"/>
      <c r="H4" s="2"/>
    </row>
    <row r="5" spans="2:8" x14ac:dyDescent="0.3">
      <c r="B5" s="16" t="s">
        <v>1</v>
      </c>
      <c r="C5" s="16" t="s">
        <v>3</v>
      </c>
      <c r="D5" s="16" t="s">
        <v>2</v>
      </c>
      <c r="E5" s="12">
        <f>$C$2</f>
        <v>45536</v>
      </c>
      <c r="F5" s="12">
        <f>+EDATE(E$5,1)</f>
        <v>45566</v>
      </c>
      <c r="G5" s="12">
        <f t="shared" ref="G5:H5" si="0">+EDATE(F$5,1)</f>
        <v>45597</v>
      </c>
      <c r="H5" s="12">
        <f t="shared" si="0"/>
        <v>45627</v>
      </c>
    </row>
    <row r="6" spans="2:8" x14ac:dyDescent="0.3">
      <c r="B6" s="3">
        <v>11256</v>
      </c>
      <c r="C6" s="4" t="s">
        <v>4</v>
      </c>
      <c r="D6" t="s">
        <v>8</v>
      </c>
      <c r="E6" s="21">
        <v>22992</v>
      </c>
      <c r="F6" s="21">
        <v>24001</v>
      </c>
      <c r="G6" s="21">
        <v>26558</v>
      </c>
      <c r="H6" s="21">
        <v>25446</v>
      </c>
    </row>
    <row r="7" spans="2:8" x14ac:dyDescent="0.3">
      <c r="B7" s="3">
        <v>11257</v>
      </c>
      <c r="C7" s="4" t="s">
        <v>4</v>
      </c>
      <c r="D7" t="s">
        <v>9</v>
      </c>
      <c r="E7" s="21">
        <v>53326</v>
      </c>
      <c r="F7" s="21">
        <v>54223</v>
      </c>
      <c r="G7" s="21">
        <v>51000</v>
      </c>
      <c r="H7" s="21">
        <v>50000</v>
      </c>
    </row>
    <row r="8" spans="2:8" x14ac:dyDescent="0.3">
      <c r="B8" s="3">
        <v>11259</v>
      </c>
      <c r="C8" s="4" t="s">
        <v>5</v>
      </c>
      <c r="D8" t="s">
        <v>10</v>
      </c>
      <c r="E8" s="21">
        <v>35888</v>
      </c>
      <c r="F8" s="21">
        <v>36880</v>
      </c>
      <c r="G8" s="21">
        <v>37995</v>
      </c>
      <c r="H8" s="21">
        <v>40000</v>
      </c>
    </row>
    <row r="9" spans="2:8" x14ac:dyDescent="0.3">
      <c r="B9" s="3">
        <v>11260</v>
      </c>
      <c r="C9" s="4" t="s">
        <v>5</v>
      </c>
      <c r="D9" t="s">
        <v>11</v>
      </c>
      <c r="E9" s="21">
        <v>87942</v>
      </c>
      <c r="F9" s="21">
        <v>85224</v>
      </c>
      <c r="G9" s="21">
        <v>82469</v>
      </c>
      <c r="H9" s="21">
        <v>81005</v>
      </c>
    </row>
    <row r="10" spans="2:8" x14ac:dyDescent="0.3">
      <c r="B10" s="3">
        <v>11263</v>
      </c>
      <c r="C10" s="4" t="s">
        <v>6</v>
      </c>
      <c r="D10" s="1" t="s">
        <v>14</v>
      </c>
      <c r="E10" s="21">
        <v>92622</v>
      </c>
      <c r="F10" s="21">
        <v>90005</v>
      </c>
      <c r="G10" s="21">
        <v>87556</v>
      </c>
      <c r="H10" s="21">
        <v>84522</v>
      </c>
    </row>
    <row r="11" spans="2:8" x14ac:dyDescent="0.3">
      <c r="B11" s="3">
        <v>11264</v>
      </c>
      <c r="C11" s="4" t="s">
        <v>6</v>
      </c>
      <c r="D11" s="1" t="s">
        <v>15</v>
      </c>
      <c r="E11" s="21">
        <v>27416</v>
      </c>
      <c r="F11" s="21">
        <v>26554</v>
      </c>
      <c r="G11" s="21">
        <v>24330</v>
      </c>
      <c r="H11" s="21">
        <v>22338</v>
      </c>
    </row>
    <row r="12" spans="2:8" x14ac:dyDescent="0.3">
      <c r="B12" s="3">
        <v>11267</v>
      </c>
      <c r="C12" s="4" t="s">
        <v>7</v>
      </c>
      <c r="D12" s="1" t="s">
        <v>12</v>
      </c>
      <c r="E12" s="21">
        <v>41696</v>
      </c>
      <c r="F12" s="21">
        <v>41696</v>
      </c>
      <c r="G12" s="21">
        <v>42558</v>
      </c>
      <c r="H12" s="21">
        <v>45448</v>
      </c>
    </row>
    <row r="13" spans="2:8" x14ac:dyDescent="0.3">
      <c r="B13" s="3">
        <v>11268</v>
      </c>
      <c r="C13" s="4" t="s">
        <v>7</v>
      </c>
      <c r="D13" s="1" t="s">
        <v>13</v>
      </c>
      <c r="E13" s="21">
        <v>60285</v>
      </c>
      <c r="F13" s="21">
        <v>61225</v>
      </c>
      <c r="G13" s="21">
        <v>68994</v>
      </c>
      <c r="H13" s="21">
        <v>72410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45C7-3FC9-4A46-B73D-ABCCA96878D6}">
  <dimension ref="A2:T56"/>
  <sheetViews>
    <sheetView topLeftCell="A4" zoomScale="115" zoomScaleNormal="115" workbookViewId="0">
      <selection activeCell="G4" sqref="G4"/>
    </sheetView>
  </sheetViews>
  <sheetFormatPr defaultColWidth="11.19921875" defaultRowHeight="15.6" x14ac:dyDescent="0.3"/>
  <cols>
    <col min="1" max="1" width="2.296875" customWidth="1"/>
    <col min="2" max="2" width="12.19921875" customWidth="1"/>
    <col min="4" max="4" width="15.3984375" bestFit="1" customWidth="1"/>
    <col min="5" max="8" width="8.69921875" customWidth="1"/>
    <col min="9" max="10" width="7.5" bestFit="1" customWidth="1"/>
    <col min="11" max="20" width="9" bestFit="1" customWidth="1"/>
  </cols>
  <sheetData>
    <row r="2" spans="1:20" x14ac:dyDescent="0.3">
      <c r="D2" s="34" t="s">
        <v>46</v>
      </c>
      <c r="E2" s="35">
        <v>0.3</v>
      </c>
    </row>
    <row r="3" spans="1:20" x14ac:dyDescent="0.3">
      <c r="D3" s="34" t="s">
        <v>47</v>
      </c>
      <c r="E3" s="35">
        <v>0.3</v>
      </c>
    </row>
    <row r="8" spans="1:20" x14ac:dyDescent="0.3">
      <c r="B8" s="15" t="s">
        <v>45</v>
      </c>
      <c r="C8" s="30"/>
      <c r="D8" s="30"/>
      <c r="E8" s="33" t="s">
        <v>16</v>
      </c>
      <c r="F8" s="33"/>
      <c r="G8" s="33"/>
      <c r="H8" s="33"/>
      <c r="I8" s="15" t="s">
        <v>17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</row>
    <row r="9" spans="1:20" x14ac:dyDescent="0.3">
      <c r="A9" t="s">
        <v>34</v>
      </c>
      <c r="B9" s="16" t="s">
        <v>1</v>
      </c>
      <c r="C9" s="16" t="s">
        <v>3</v>
      </c>
      <c r="D9" s="16" t="s">
        <v>2</v>
      </c>
      <c r="E9" s="12">
        <f>'Actual Expenses'!$C$2</f>
        <v>45536</v>
      </c>
      <c r="F9" s="12">
        <f>+EDATE(E$21,1)</f>
        <v>45566</v>
      </c>
      <c r="G9" s="12">
        <f t="shared" ref="G9:T9" si="0">+EDATE(F$21,1)</f>
        <v>45597</v>
      </c>
      <c r="H9" s="12">
        <f t="shared" si="0"/>
        <v>45627</v>
      </c>
      <c r="I9" s="12">
        <f t="shared" si="0"/>
        <v>45658</v>
      </c>
      <c r="J9" s="12">
        <f t="shared" si="0"/>
        <v>45689</v>
      </c>
      <c r="K9" s="12">
        <f t="shared" si="0"/>
        <v>45717</v>
      </c>
      <c r="L9" s="12">
        <f t="shared" si="0"/>
        <v>45748</v>
      </c>
      <c r="M9" s="12">
        <f t="shared" si="0"/>
        <v>45778</v>
      </c>
      <c r="N9" s="12">
        <f t="shared" si="0"/>
        <v>45809</v>
      </c>
      <c r="O9" s="12">
        <f t="shared" si="0"/>
        <v>45839</v>
      </c>
      <c r="P9" s="12">
        <f t="shared" si="0"/>
        <v>45870</v>
      </c>
      <c r="Q9" s="12">
        <f t="shared" si="0"/>
        <v>45901</v>
      </c>
      <c r="R9" s="12">
        <f t="shared" si="0"/>
        <v>45931</v>
      </c>
      <c r="S9" s="12">
        <f t="shared" si="0"/>
        <v>45962</v>
      </c>
      <c r="T9" s="12">
        <f t="shared" si="0"/>
        <v>45992</v>
      </c>
    </row>
    <row r="10" spans="1:20" x14ac:dyDescent="0.3">
      <c r="B10" s="3">
        <v>11256</v>
      </c>
      <c r="C10" s="4" t="s">
        <v>4</v>
      </c>
      <c r="D10" t="s">
        <v>8</v>
      </c>
      <c r="E10" s="7">
        <v>22992</v>
      </c>
      <c r="F10" s="7">
        <v>24001</v>
      </c>
      <c r="G10" s="7">
        <v>26558</v>
      </c>
      <c r="H10" s="7">
        <v>25446</v>
      </c>
      <c r="I10" s="7">
        <f>+CHOOSE('Income Statement'!$C$2,Forecast!I22,Forecast!I35,Forecast!I46)</f>
        <v>314259.20534650801</v>
      </c>
      <c r="J10" s="7">
        <f>+CHOOSE('Income Statement'!$C$2,Forecast!J22,Forecast!J35,Forecast!J46)</f>
        <v>314994.34475450189</v>
      </c>
      <c r="K10" s="7">
        <f>+CHOOSE('Income Statement'!$C$2,Forecast!K22,Forecast!K35,Forecast!K46)</f>
        <v>334154.57293455041</v>
      </c>
      <c r="L10" s="7">
        <f>+CHOOSE('Income Statement'!$C$2,Forecast!L22,Forecast!L35,Forecast!L46)</f>
        <v>333466.75361445744</v>
      </c>
      <c r="M10" s="7">
        <f>+CHOOSE('Income Statement'!$C$2,Forecast!M22,Forecast!M35,Forecast!M46)</f>
        <v>352185.76000800508</v>
      </c>
      <c r="N10" s="7">
        <f>+CHOOSE('Income Statement'!$C$2,Forecast!N22,Forecast!N35,Forecast!N46)</f>
        <v>352307.11463679001</v>
      </c>
      <c r="O10" s="7">
        <f>+CHOOSE('Income Statement'!$C$2,Forecast!O22,Forecast!O35,Forecast!O46)</f>
        <v>370564.61678493186</v>
      </c>
      <c r="P10" s="7">
        <f>+CHOOSE('Income Statement'!$C$2,Forecast!P22,Forecast!P35,Forecast!P46)</f>
        <v>370696.23496579722</v>
      </c>
      <c r="Q10" s="7">
        <f>+CHOOSE('Income Statement'!$C$2,Forecast!Q22,Forecast!Q35,Forecast!Q46)</f>
        <v>388919.20861424622</v>
      </c>
      <c r="R10" s="7">
        <f>+CHOOSE('Income Statement'!$C$2,Forecast!R22,Forecast!R35,Forecast!R46)</f>
        <v>389034.51215204888</v>
      </c>
      <c r="S10" s="7">
        <f>+CHOOSE('Income Statement'!$C$2,Forecast!S22,Forecast!S35,Forecast!S46)</f>
        <v>407247.85006969591</v>
      </c>
      <c r="T10" s="7">
        <f>+CHOOSE('Income Statement'!$C$2,Forecast!T22,Forecast!T35,Forecast!T46)</f>
        <v>407357.38461417862</v>
      </c>
    </row>
    <row r="11" spans="1:20" x14ac:dyDescent="0.3">
      <c r="B11" s="3">
        <v>11257</v>
      </c>
      <c r="C11" s="4" t="s">
        <v>4</v>
      </c>
      <c r="D11" t="s">
        <v>9</v>
      </c>
      <c r="E11" s="7">
        <v>53326</v>
      </c>
      <c r="F11" s="7">
        <v>54223</v>
      </c>
      <c r="G11" s="7">
        <v>51000</v>
      </c>
      <c r="H11" s="7">
        <v>50000</v>
      </c>
      <c r="I11" s="7">
        <f>+CHOOSE('Income Statement'!$C$2,Forecast!I23,Forecast!I36,Forecast!I47)</f>
        <v>571644.96054429503</v>
      </c>
      <c r="J11" s="7">
        <f>+CHOOSE('Income Statement'!$C$2,Forecast!J23,Forecast!J36,Forecast!J47)</f>
        <v>556755.80689303728</v>
      </c>
      <c r="K11" s="7">
        <f>+CHOOSE('Income Statement'!$C$2,Forecast!K23,Forecast!K36,Forecast!K47)</f>
        <v>536375.04266026209</v>
      </c>
      <c r="L11" s="7">
        <f>+CHOOSE('Income Statement'!$C$2,Forecast!L23,Forecast!L36,Forecast!L47)</f>
        <v>521719.27425155899</v>
      </c>
      <c r="M11" s="7">
        <f>+CHOOSE('Income Statement'!$C$2,Forecast!M23,Forecast!M36,Forecast!M47)</f>
        <v>501598.3578447582</v>
      </c>
      <c r="N11" s="7">
        <f>+CHOOSE('Income Statement'!$C$2,Forecast!N23,Forecast!N36,Forecast!N47)</f>
        <v>487416.08619431552</v>
      </c>
      <c r="O11" s="7">
        <f>+CHOOSE('Income Statement'!$C$2,Forecast!O23,Forecast!O36,Forecast!O47)</f>
        <v>464504.02078860387</v>
      </c>
      <c r="P11" s="7">
        <f>+CHOOSE('Income Statement'!$C$2,Forecast!P23,Forecast!P36,Forecast!P47)</f>
        <v>450769.14460300264</v>
      </c>
      <c r="Q11" s="7">
        <f>+CHOOSE('Income Statement'!$C$2,Forecast!Q23,Forecast!Q36,Forecast!Q47)</f>
        <v>428360.20719021244</v>
      </c>
      <c r="R11" s="7">
        <f>+CHOOSE('Income Statement'!$C$2,Forecast!R23,Forecast!R36,Forecast!R47)</f>
        <v>413992.70026381506</v>
      </c>
      <c r="S11" s="7">
        <f>+CHOOSE('Income Statement'!$C$2,Forecast!S23,Forecast!S36,Forecast!S47)</f>
        <v>393894.64937795431</v>
      </c>
      <c r="T11" s="7">
        <f>+CHOOSE('Income Statement'!$C$2,Forecast!T23,Forecast!T36,Forecast!T47)</f>
        <v>378135.40865866037</v>
      </c>
    </row>
    <row r="12" spans="1:20" x14ac:dyDescent="0.3">
      <c r="B12" s="3">
        <v>11259</v>
      </c>
      <c r="C12" s="4" t="s">
        <v>5</v>
      </c>
      <c r="D12" t="s">
        <v>10</v>
      </c>
      <c r="E12" s="7">
        <v>35888</v>
      </c>
      <c r="F12" s="7">
        <v>36880</v>
      </c>
      <c r="G12" s="7">
        <v>37995</v>
      </c>
      <c r="H12" s="7">
        <v>40000</v>
      </c>
      <c r="I12" s="7">
        <f>+CHOOSE('Income Statement'!$C$2,Forecast!I24,Forecast!I37,Forecast!I48)</f>
        <v>481852.46305589151</v>
      </c>
      <c r="J12" s="7">
        <f>+CHOOSE('Income Statement'!$C$2,Forecast!J24,Forecast!J37,Forecast!J48)</f>
        <v>498579.95846338663</v>
      </c>
      <c r="K12" s="7">
        <f>+CHOOSE('Income Statement'!$C$2,Forecast!K24,Forecast!K37,Forecast!K48)</f>
        <v>515223.16400720354</v>
      </c>
      <c r="L12" s="7">
        <f>+CHOOSE('Income Statement'!$C$2,Forecast!L24,Forecast!L37,Forecast!L48)</f>
        <v>531342.76856269175</v>
      </c>
      <c r="M12" s="7">
        <f>+CHOOSE('Income Statement'!$C$2,Forecast!M24,Forecast!M37,Forecast!M48)</f>
        <v>547730.43945030356</v>
      </c>
      <c r="N12" s="7">
        <f>+CHOOSE('Income Statement'!$C$2,Forecast!N24,Forecast!N37,Forecast!N48)</f>
        <v>564119.13625963381</v>
      </c>
      <c r="O12" s="7">
        <f>+CHOOSE('Income Statement'!$C$2,Forecast!O24,Forecast!O37,Forecast!O48)</f>
        <v>580508.9275134817</v>
      </c>
      <c r="P12" s="7">
        <f>+CHOOSE('Income Statement'!$C$2,Forecast!P24,Forecast!P37,Forecast!P48)</f>
        <v>596899.50522640883</v>
      </c>
      <c r="Q12" s="7">
        <f>+CHOOSE('Income Statement'!$C$2,Forecast!Q24,Forecast!Q37,Forecast!Q48)</f>
        <v>613290.54674790427</v>
      </c>
      <c r="R12" s="7">
        <f>+CHOOSE('Income Statement'!$C$2,Forecast!R24,Forecast!R37,Forecast!R48)</f>
        <v>629681.7981075258</v>
      </c>
      <c r="S12" s="7">
        <f>+CHOOSE('Income Statement'!$C$2,Forecast!S24,Forecast!S37,Forecast!S48)</f>
        <v>646073.07780537603</v>
      </c>
      <c r="T12" s="7">
        <f>+CHOOSE('Income Statement'!$C$2,Forecast!T24,Forecast!T37,Forecast!T48)</f>
        <v>662464.2620000256</v>
      </c>
    </row>
    <row r="13" spans="1:20" x14ac:dyDescent="0.3">
      <c r="B13" s="3">
        <v>11260</v>
      </c>
      <c r="C13" s="4" t="s">
        <v>5</v>
      </c>
      <c r="D13" t="s">
        <v>11</v>
      </c>
      <c r="E13" s="7">
        <v>87942</v>
      </c>
      <c r="F13" s="7">
        <v>85224</v>
      </c>
      <c r="G13" s="7">
        <v>82469</v>
      </c>
      <c r="H13" s="7">
        <v>81005</v>
      </c>
      <c r="I13" s="7">
        <f>+CHOOSE('Income Statement'!$C$2,Forecast!I25,Forecast!I38,Forecast!I49)</f>
        <v>917606.33115688374</v>
      </c>
      <c r="J13" s="7">
        <f>+CHOOSE('Income Statement'!$C$2,Forecast!J25,Forecast!J38,Forecast!J49)</f>
        <v>891283.10817673255</v>
      </c>
      <c r="K13" s="7">
        <f>+CHOOSE('Income Statement'!$C$2,Forecast!K25,Forecast!K38,Forecast!K49)</f>
        <v>864775.84092942788</v>
      </c>
      <c r="L13" s="7">
        <f>+CHOOSE('Income Statement'!$C$2,Forecast!L25,Forecast!L38,Forecast!L49)</f>
        <v>837859.35057985282</v>
      </c>
      <c r="M13" s="7">
        <f>+CHOOSE('Income Statement'!$C$2,Forecast!M25,Forecast!M38,Forecast!M49)</f>
        <v>811183.14814076666</v>
      </c>
      <c r="N13" s="7">
        <f>+CHOOSE('Income Statement'!$C$2,Forecast!N25,Forecast!N38,Forecast!N49)</f>
        <v>784491.72623193287</v>
      </c>
      <c r="O13" s="7">
        <f>+CHOOSE('Income Statement'!$C$2,Forecast!O25,Forecast!O38,Forecast!O49)</f>
        <v>757790.28669995093</v>
      </c>
      <c r="P13" s="7">
        <f>+CHOOSE('Income Statement'!$C$2,Forecast!P25,Forecast!P38,Forecast!P49)</f>
        <v>731024.52912055654</v>
      </c>
      <c r="Q13" s="7">
        <f>+CHOOSE('Income Statement'!$C$2,Forecast!Q25,Forecast!Q38,Forecast!Q49)</f>
        <v>704300.96970550285</v>
      </c>
      <c r="R13" s="7">
        <f>+CHOOSE('Income Statement'!$C$2,Forecast!R25,Forecast!R38,Forecast!R49)</f>
        <v>677578.33381604729</v>
      </c>
      <c r="S13" s="7">
        <f>+CHOOSE('Income Statement'!$C$2,Forecast!S25,Forecast!S38,Forecast!S49)</f>
        <v>650856.22085586388</v>
      </c>
      <c r="T13" s="7">
        <f>+CHOOSE('Income Statement'!$C$2,Forecast!T25,Forecast!T38,Forecast!T49)</f>
        <v>624134.35029469419</v>
      </c>
    </row>
    <row r="14" spans="1:20" x14ac:dyDescent="0.3">
      <c r="B14" s="3">
        <v>11263</v>
      </c>
      <c r="C14" s="4" t="s">
        <v>6</v>
      </c>
      <c r="D14" s="1" t="s">
        <v>14</v>
      </c>
      <c r="E14" s="7">
        <v>92622</v>
      </c>
      <c r="F14" s="7">
        <v>90005</v>
      </c>
      <c r="G14" s="7">
        <v>87556</v>
      </c>
      <c r="H14" s="7">
        <v>84522</v>
      </c>
      <c r="I14" s="7">
        <f>+CHOOSE('Income Statement'!$C$2,Forecast!I26,Forecast!I39,Forecast!I50)</f>
        <v>958427.45526043919</v>
      </c>
      <c r="J14" s="7">
        <f>+CHOOSE('Income Statement'!$C$2,Forecast!J26,Forecast!J39,Forecast!J50)</f>
        <v>926714.97124272515</v>
      </c>
      <c r="K14" s="7">
        <f>+CHOOSE('Income Statement'!$C$2,Forecast!K26,Forecast!K39,Forecast!K50)</f>
        <v>894856.36384163552</v>
      </c>
      <c r="L14" s="7">
        <f>+CHOOSE('Income Statement'!$C$2,Forecast!L26,Forecast!L39,Forecast!L50)</f>
        <v>863372.10875845817</v>
      </c>
      <c r="M14" s="7">
        <f>+CHOOSE('Income Statement'!$C$2,Forecast!M26,Forecast!M39,Forecast!M50)</f>
        <v>831708.51123663725</v>
      </c>
      <c r="N14" s="7">
        <f>+CHOOSE('Income Statement'!$C$2,Forecast!N26,Forecast!N39,Forecast!N50)</f>
        <v>798732.79991628695</v>
      </c>
      <c r="O14" s="7">
        <f>+CHOOSE('Income Statement'!$C$2,Forecast!O26,Forecast!O39,Forecast!O50)</f>
        <v>767797.05936751526</v>
      </c>
      <c r="P14" s="7">
        <f>+CHOOSE('Income Statement'!$C$2,Forecast!P26,Forecast!P39,Forecast!P50)</f>
        <v>736574.77981661179</v>
      </c>
      <c r="Q14" s="7">
        <f>+CHOOSE('Income Statement'!$C$2,Forecast!Q26,Forecast!Q39,Forecast!Q50)</f>
        <v>704529.61630205961</v>
      </c>
      <c r="R14" s="7">
        <f>+CHOOSE('Income Statement'!$C$2,Forecast!R26,Forecast!R39,Forecast!R50)</f>
        <v>672820.11809137033</v>
      </c>
      <c r="S14" s="7">
        <f>+CHOOSE('Income Statement'!$C$2,Forecast!S26,Forecast!S39,Forecast!S50)</f>
        <v>641111.45459186973</v>
      </c>
      <c r="T14" s="7">
        <f>+CHOOSE('Income Statement'!$C$2,Forecast!T26,Forecast!T39,Forecast!T50)</f>
        <v>608251.99071973481</v>
      </c>
    </row>
    <row r="15" spans="1:20" x14ac:dyDescent="0.3">
      <c r="B15" s="3">
        <v>11264</v>
      </c>
      <c r="C15" s="4" t="s">
        <v>6</v>
      </c>
      <c r="D15" s="1" t="s">
        <v>15</v>
      </c>
      <c r="E15" s="7">
        <v>27416</v>
      </c>
      <c r="F15" s="7">
        <v>26554</v>
      </c>
      <c r="G15" s="7">
        <v>24330</v>
      </c>
      <c r="H15" s="7">
        <v>22338</v>
      </c>
      <c r="I15" s="7">
        <f>+CHOOSE('Income Statement'!$C$2,Forecast!I27,Forecast!I40,Forecast!I51)</f>
        <v>243180.71757805566</v>
      </c>
      <c r="J15" s="7">
        <f>+CHOOSE('Income Statement'!$C$2,Forecast!J27,Forecast!J40,Forecast!J51)</f>
        <v>221906.49775322349</v>
      </c>
      <c r="K15" s="7">
        <f>+CHOOSE('Income Statement'!$C$2,Forecast!K27,Forecast!K40,Forecast!K51)</f>
        <v>200523.55215992589</v>
      </c>
      <c r="L15" s="7">
        <f>+CHOOSE('Income Statement'!$C$2,Forecast!L27,Forecast!L40,Forecast!L51)</f>
        <v>180162.13450624628</v>
      </c>
      <c r="M15" s="7">
        <f>+CHOOSE('Income Statement'!$C$2,Forecast!M27,Forecast!M40,Forecast!M51)</f>
        <v>159413.76590464625</v>
      </c>
      <c r="N15" s="7">
        <f>+CHOOSE('Income Statement'!$C$2,Forecast!N27,Forecast!N40,Forecast!N51)</f>
        <v>134078.38162257423</v>
      </c>
      <c r="O15" s="7">
        <f>+CHOOSE('Income Statement'!$C$2,Forecast!O27,Forecast!O40,Forecast!O51)</f>
        <v>119757.85167543644</v>
      </c>
      <c r="P15" s="7">
        <f>+CHOOSE('Income Statement'!$C$2,Forecast!P27,Forecast!P40,Forecast!P51)</f>
        <v>96773.932922271604</v>
      </c>
      <c r="Q15" s="7">
        <f>+CHOOSE('Income Statement'!$C$2,Forecast!Q27,Forecast!Q40,Forecast!Q51)</f>
        <v>71467.814242360633</v>
      </c>
      <c r="R15" s="7">
        <f>+CHOOSE('Income Statement'!$C$2,Forecast!R27,Forecast!R40,Forecast!R51)</f>
        <v>56519.884136862012</v>
      </c>
      <c r="S15" s="7">
        <f>+CHOOSE('Income Statement'!$C$2,Forecast!S27,Forecast!S40,Forecast!S51)</f>
        <v>33779.506963671847</v>
      </c>
      <c r="T15" s="7">
        <f>+CHOOSE('Income Statement'!$C$2,Forecast!T27,Forecast!T40,Forecast!T51)</f>
        <v>9663.1074354358607</v>
      </c>
    </row>
    <row r="16" spans="1:20" x14ac:dyDescent="0.3">
      <c r="B16" s="3">
        <v>11267</v>
      </c>
      <c r="C16" s="4" t="s">
        <v>7</v>
      </c>
      <c r="D16" s="1" t="s">
        <v>12</v>
      </c>
      <c r="E16" s="7">
        <v>41696</v>
      </c>
      <c r="F16" s="7">
        <v>41696</v>
      </c>
      <c r="G16" s="7">
        <v>42558</v>
      </c>
      <c r="H16" s="7">
        <v>45448</v>
      </c>
      <c r="I16" s="7">
        <f>+CHOOSE('Income Statement'!$C$2,Forecast!I28,Forecast!I41,Forecast!I52)</f>
        <v>541206.27944516588</v>
      </c>
      <c r="J16" s="7">
        <f>+CHOOSE('Income Statement'!$C$2,Forecast!J28,Forecast!J41,Forecast!J52)</f>
        <v>558144.26446374296</v>
      </c>
      <c r="K16" s="7">
        <f>+CHOOSE('Income Statement'!$C$2,Forecast!K28,Forecast!K41,Forecast!K52)</f>
        <v>575057.00612608122</v>
      </c>
      <c r="L16" s="7">
        <f>+CHOOSE('Income Statement'!$C$2,Forecast!L28,Forecast!L41,Forecast!L52)</f>
        <v>590292.24541750434</v>
      </c>
      <c r="M16" s="7">
        <f>+CHOOSE('Income Statement'!$C$2,Forecast!M28,Forecast!M41,Forecast!M52)</f>
        <v>606344.80979872274</v>
      </c>
      <c r="N16" s="7">
        <f>+CHOOSE('Income Statement'!$C$2,Forecast!N28,Forecast!N41,Forecast!N52)</f>
        <v>622400.21331484045</v>
      </c>
      <c r="O16" s="7">
        <f>+CHOOSE('Income Statement'!$C$2,Forecast!O28,Forecast!O41,Forecast!O52)</f>
        <v>638458.66972474637</v>
      </c>
      <c r="P16" s="7">
        <f>+CHOOSE('Income Statement'!$C$2,Forecast!P28,Forecast!P41,Forecast!P52)</f>
        <v>654519.29815247306</v>
      </c>
      <c r="Q16" s="7">
        <f>+CHOOSE('Income Statement'!$C$2,Forecast!Q28,Forecast!Q41,Forecast!Q52)</f>
        <v>670581.17307281564</v>
      </c>
      <c r="R16" s="7">
        <f>+CHOOSE('Income Statement'!$C$2,Forecast!R28,Forecast!R41,Forecast!R52)</f>
        <v>686643.5664917148</v>
      </c>
      <c r="S16" s="7">
        <f>+CHOOSE('Income Statement'!$C$2,Forecast!S28,Forecast!S41,Forecast!S52)</f>
        <v>702705.95929367561</v>
      </c>
      <c r="T16" s="7">
        <f>+CHOOSE('Income Statement'!$C$2,Forecast!T28,Forecast!T41,Forecast!T52)</f>
        <v>718767.9985508523</v>
      </c>
    </row>
    <row r="17" spans="1:20" x14ac:dyDescent="0.3">
      <c r="B17" s="3">
        <v>11268</v>
      </c>
      <c r="C17" s="4" t="s">
        <v>7</v>
      </c>
      <c r="D17" s="1" t="s">
        <v>13</v>
      </c>
      <c r="E17" s="7">
        <v>60285</v>
      </c>
      <c r="F17" s="7">
        <v>61225</v>
      </c>
      <c r="G17" s="7">
        <v>68994</v>
      </c>
      <c r="H17" s="7">
        <v>72410</v>
      </c>
      <c r="I17" s="7">
        <f>+CHOOSE('Income Statement'!$C$2,Forecast!I29,Forecast!I42,Forecast!I53)</f>
        <v>897455.59664402704</v>
      </c>
      <c r="J17" s="7">
        <f>+CHOOSE('Income Statement'!$C$2,Forecast!J29,Forecast!J42,Forecast!J53)</f>
        <v>944556.51461340173</v>
      </c>
      <c r="K17" s="7">
        <f>+CHOOSE('Income Statement'!$C$2,Forecast!K29,Forecast!K42,Forecast!K53)</f>
        <v>1018948.996147895</v>
      </c>
      <c r="L17" s="7">
        <f>+CHOOSE('Income Statement'!$C$2,Forecast!L29,Forecast!L42,Forecast!L53)</f>
        <v>1063246.0456308245</v>
      </c>
      <c r="M17" s="7">
        <f>+CHOOSE('Income Statement'!$C$2,Forecast!M29,Forecast!M42,Forecast!M53)</f>
        <v>1134292.3304317435</v>
      </c>
      <c r="N17" s="7">
        <f>+CHOOSE('Income Statement'!$C$2,Forecast!N29,Forecast!N42,Forecast!N53)</f>
        <v>1179362.5425222714</v>
      </c>
      <c r="O17" s="7">
        <f>+CHOOSE('Income Statement'!$C$2,Forecast!O29,Forecast!O42,Forecast!O53)</f>
        <v>1250331.9843174205</v>
      </c>
      <c r="P17" s="7">
        <f>+CHOOSE('Income Statement'!$C$2,Forecast!P29,Forecast!P42,Forecast!P53)</f>
        <v>1299121.5922346131</v>
      </c>
      <c r="Q17" s="7">
        <f>+CHOOSE('Income Statement'!$C$2,Forecast!Q29,Forecast!Q42,Forecast!Q53)</f>
        <v>1369748.3578783632</v>
      </c>
      <c r="R17" s="7">
        <f>+CHOOSE('Income Statement'!$C$2,Forecast!R29,Forecast!R42,Forecast!R53)</f>
        <v>1405620.4395337</v>
      </c>
      <c r="S17" s="7">
        <f>+CHOOSE('Income Statement'!$C$2,Forecast!S29,Forecast!S42,Forecast!S53)</f>
        <v>1484924.6188451627</v>
      </c>
      <c r="T17" s="7">
        <f>+CHOOSE('Income Statement'!$C$2,Forecast!T29,Forecast!T42,Forecast!T53)</f>
        <v>1533704.7854006006</v>
      </c>
    </row>
    <row r="20" spans="1:20" x14ac:dyDescent="0.3">
      <c r="B20" s="15" t="s">
        <v>18</v>
      </c>
      <c r="C20" s="30"/>
      <c r="D20" s="30"/>
      <c r="E20" s="33" t="s">
        <v>16</v>
      </c>
      <c r="F20" s="33"/>
      <c r="G20" s="33"/>
      <c r="H20" s="33"/>
      <c r="I20" s="15" t="s">
        <v>17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</row>
    <row r="21" spans="1:20" x14ac:dyDescent="0.3">
      <c r="A21" t="s">
        <v>34</v>
      </c>
      <c r="B21" s="16" t="s">
        <v>1</v>
      </c>
      <c r="C21" s="16" t="s">
        <v>3</v>
      </c>
      <c r="D21" s="16" t="s">
        <v>2</v>
      </c>
      <c r="E21" s="12">
        <f>'Actual Expenses'!$C$2</f>
        <v>45536</v>
      </c>
      <c r="F21" s="12">
        <f>+EDATE(E$21,1)</f>
        <v>45566</v>
      </c>
      <c r="G21" s="12">
        <f t="shared" ref="G21:T21" si="1">+EDATE(F$21,1)</f>
        <v>45597</v>
      </c>
      <c r="H21" s="12">
        <f t="shared" si="1"/>
        <v>45627</v>
      </c>
      <c r="I21" s="12">
        <f t="shared" si="1"/>
        <v>45658</v>
      </c>
      <c r="J21" s="12">
        <f t="shared" si="1"/>
        <v>45689</v>
      </c>
      <c r="K21" s="12">
        <f t="shared" si="1"/>
        <v>45717</v>
      </c>
      <c r="L21" s="12">
        <f t="shared" si="1"/>
        <v>45748</v>
      </c>
      <c r="M21" s="12">
        <f t="shared" si="1"/>
        <v>45778</v>
      </c>
      <c r="N21" s="12">
        <f t="shared" si="1"/>
        <v>45809</v>
      </c>
      <c r="O21" s="12">
        <f t="shared" si="1"/>
        <v>45839</v>
      </c>
      <c r="P21" s="12">
        <f t="shared" si="1"/>
        <v>45870</v>
      </c>
      <c r="Q21" s="12">
        <f t="shared" si="1"/>
        <v>45901</v>
      </c>
      <c r="R21" s="12">
        <f t="shared" si="1"/>
        <v>45931</v>
      </c>
      <c r="S21" s="12">
        <f t="shared" si="1"/>
        <v>45962</v>
      </c>
      <c r="T21" s="12">
        <f t="shared" si="1"/>
        <v>45992</v>
      </c>
    </row>
    <row r="22" spans="1:20" x14ac:dyDescent="0.3">
      <c r="B22" s="3">
        <v>11256</v>
      </c>
      <c r="C22" s="4" t="s">
        <v>4</v>
      </c>
      <c r="D22" t="s">
        <v>8</v>
      </c>
      <c r="E22" s="7">
        <v>22992</v>
      </c>
      <c r="F22" s="7">
        <v>24001</v>
      </c>
      <c r="G22" s="7">
        <v>26558</v>
      </c>
      <c r="H22" s="7">
        <v>25446</v>
      </c>
      <c r="I22" s="7">
        <f>+I35*9*(1+$E$2)</f>
        <v>314259.20534650801</v>
      </c>
      <c r="J22" s="7">
        <f t="shared" ref="J22:T22" si="2">+J35*9*(1+$E$2)</f>
        <v>314994.34475450189</v>
      </c>
      <c r="K22" s="7">
        <f t="shared" si="2"/>
        <v>334154.57293455041</v>
      </c>
      <c r="L22" s="7">
        <f t="shared" si="2"/>
        <v>333466.75361445744</v>
      </c>
      <c r="M22" s="7">
        <f t="shared" si="2"/>
        <v>352185.76000800508</v>
      </c>
      <c r="N22" s="7">
        <f t="shared" si="2"/>
        <v>352307.11463679001</v>
      </c>
      <c r="O22" s="7">
        <f t="shared" si="2"/>
        <v>370564.61678493186</v>
      </c>
      <c r="P22" s="7">
        <f t="shared" si="2"/>
        <v>370696.23496579722</v>
      </c>
      <c r="Q22" s="7">
        <f t="shared" si="2"/>
        <v>388919.20861424622</v>
      </c>
      <c r="R22" s="7">
        <f t="shared" si="2"/>
        <v>389034.51215204888</v>
      </c>
      <c r="S22" s="7">
        <f t="shared" si="2"/>
        <v>407247.85006969591</v>
      </c>
      <c r="T22" s="7">
        <f t="shared" si="2"/>
        <v>407357.38461417862</v>
      </c>
    </row>
    <row r="23" spans="1:20" x14ac:dyDescent="0.3">
      <c r="B23" s="3">
        <v>11257</v>
      </c>
      <c r="C23" s="4" t="s">
        <v>4</v>
      </c>
      <c r="D23" t="s">
        <v>9</v>
      </c>
      <c r="E23" s="7">
        <v>53326</v>
      </c>
      <c r="F23" s="7">
        <v>54223</v>
      </c>
      <c r="G23" s="7">
        <v>51000</v>
      </c>
      <c r="H23" s="7">
        <v>50000</v>
      </c>
      <c r="I23" s="7">
        <f t="shared" ref="I23:T23" si="3">+I36*9*(1+$E$2)</f>
        <v>571644.96054429503</v>
      </c>
      <c r="J23" s="7">
        <f t="shared" si="3"/>
        <v>556755.80689303728</v>
      </c>
      <c r="K23" s="7">
        <f t="shared" si="3"/>
        <v>536375.04266026209</v>
      </c>
      <c r="L23" s="7">
        <f t="shared" si="3"/>
        <v>521719.27425155899</v>
      </c>
      <c r="M23" s="7">
        <f t="shared" si="3"/>
        <v>501598.3578447582</v>
      </c>
      <c r="N23" s="7">
        <f t="shared" si="3"/>
        <v>487416.08619431552</v>
      </c>
      <c r="O23" s="7">
        <f t="shared" si="3"/>
        <v>464504.02078860387</v>
      </c>
      <c r="P23" s="7">
        <f t="shared" si="3"/>
        <v>450769.14460300264</v>
      </c>
      <c r="Q23" s="7">
        <f t="shared" si="3"/>
        <v>428360.20719021244</v>
      </c>
      <c r="R23" s="7">
        <f t="shared" si="3"/>
        <v>413992.70026381506</v>
      </c>
      <c r="S23" s="7">
        <f t="shared" si="3"/>
        <v>393894.64937795431</v>
      </c>
      <c r="T23" s="7">
        <f t="shared" si="3"/>
        <v>378135.40865866037</v>
      </c>
    </row>
    <row r="24" spans="1:20" x14ac:dyDescent="0.3">
      <c r="B24" s="3">
        <v>11259</v>
      </c>
      <c r="C24" s="4" t="s">
        <v>5</v>
      </c>
      <c r="D24" t="s">
        <v>10</v>
      </c>
      <c r="E24" s="7">
        <v>35888</v>
      </c>
      <c r="F24" s="7">
        <v>36880</v>
      </c>
      <c r="G24" s="7">
        <v>37995</v>
      </c>
      <c r="H24" s="7">
        <v>40000</v>
      </c>
      <c r="I24" s="7">
        <f t="shared" ref="I24:T24" si="4">+I37*9*(1+$E$2)</f>
        <v>481852.46305589151</v>
      </c>
      <c r="J24" s="7">
        <f t="shared" si="4"/>
        <v>498579.95846338663</v>
      </c>
      <c r="K24" s="7">
        <f t="shared" si="4"/>
        <v>515223.16400720354</v>
      </c>
      <c r="L24" s="7">
        <f t="shared" si="4"/>
        <v>531342.76856269175</v>
      </c>
      <c r="M24" s="7">
        <f t="shared" si="4"/>
        <v>547730.43945030356</v>
      </c>
      <c r="N24" s="7">
        <f t="shared" si="4"/>
        <v>564119.13625963381</v>
      </c>
      <c r="O24" s="7">
        <f t="shared" si="4"/>
        <v>580508.9275134817</v>
      </c>
      <c r="P24" s="7">
        <f t="shared" si="4"/>
        <v>596899.50522640883</v>
      </c>
      <c r="Q24" s="7">
        <f t="shared" si="4"/>
        <v>613290.54674790427</v>
      </c>
      <c r="R24" s="7">
        <f t="shared" si="4"/>
        <v>629681.7981075258</v>
      </c>
      <c r="S24" s="7">
        <f t="shared" si="4"/>
        <v>646073.07780537603</v>
      </c>
      <c r="T24" s="7">
        <f t="shared" si="4"/>
        <v>662464.2620000256</v>
      </c>
    </row>
    <row r="25" spans="1:20" x14ac:dyDescent="0.3">
      <c r="B25" s="3">
        <v>11260</v>
      </c>
      <c r="C25" s="4" t="s">
        <v>5</v>
      </c>
      <c r="D25" t="s">
        <v>11</v>
      </c>
      <c r="E25" s="7">
        <v>87942</v>
      </c>
      <c r="F25" s="7">
        <v>85224</v>
      </c>
      <c r="G25" s="7">
        <v>82469</v>
      </c>
      <c r="H25" s="7">
        <v>81005</v>
      </c>
      <c r="I25" s="7">
        <f t="shared" ref="I25:T25" si="5">+I38*9*(1+$E$2)</f>
        <v>917606.33115688374</v>
      </c>
      <c r="J25" s="7">
        <f t="shared" si="5"/>
        <v>891283.10817673255</v>
      </c>
      <c r="K25" s="7">
        <f t="shared" si="5"/>
        <v>864775.84092942788</v>
      </c>
      <c r="L25" s="7">
        <f t="shared" si="5"/>
        <v>837859.35057985282</v>
      </c>
      <c r="M25" s="7">
        <f t="shared" si="5"/>
        <v>811183.14814076666</v>
      </c>
      <c r="N25" s="7">
        <f t="shared" si="5"/>
        <v>784491.72623193287</v>
      </c>
      <c r="O25" s="7">
        <f t="shared" si="5"/>
        <v>757790.28669995093</v>
      </c>
      <c r="P25" s="7">
        <f t="shared" si="5"/>
        <v>731024.52912055654</v>
      </c>
      <c r="Q25" s="7">
        <f t="shared" si="5"/>
        <v>704300.96970550285</v>
      </c>
      <c r="R25" s="7">
        <f t="shared" si="5"/>
        <v>677578.33381604729</v>
      </c>
      <c r="S25" s="7">
        <f t="shared" si="5"/>
        <v>650856.22085586388</v>
      </c>
      <c r="T25" s="7">
        <f t="shared" si="5"/>
        <v>624134.35029469419</v>
      </c>
    </row>
    <row r="26" spans="1:20" x14ac:dyDescent="0.3">
      <c r="B26" s="3">
        <v>11263</v>
      </c>
      <c r="C26" s="4" t="s">
        <v>6</v>
      </c>
      <c r="D26" s="1" t="s">
        <v>14</v>
      </c>
      <c r="E26" s="7">
        <v>92622</v>
      </c>
      <c r="F26" s="7">
        <v>90005</v>
      </c>
      <c r="G26" s="7">
        <v>87556</v>
      </c>
      <c r="H26" s="7">
        <v>84522</v>
      </c>
      <c r="I26" s="7">
        <f t="shared" ref="I26:T26" si="6">+I39*9*(1+$E$2)</f>
        <v>958427.45526043919</v>
      </c>
      <c r="J26" s="7">
        <f t="shared" si="6"/>
        <v>926714.97124272515</v>
      </c>
      <c r="K26" s="7">
        <f t="shared" si="6"/>
        <v>894856.36384163552</v>
      </c>
      <c r="L26" s="7">
        <f t="shared" si="6"/>
        <v>863372.10875845817</v>
      </c>
      <c r="M26" s="7">
        <f t="shared" si="6"/>
        <v>831708.51123663725</v>
      </c>
      <c r="N26" s="7">
        <f t="shared" si="6"/>
        <v>798732.79991628695</v>
      </c>
      <c r="O26" s="7">
        <f t="shared" si="6"/>
        <v>767797.05936751526</v>
      </c>
      <c r="P26" s="7">
        <f t="shared" si="6"/>
        <v>736574.77981661179</v>
      </c>
      <c r="Q26" s="7">
        <f t="shared" si="6"/>
        <v>704529.61630205961</v>
      </c>
      <c r="R26" s="7">
        <f t="shared" si="6"/>
        <v>672820.11809137033</v>
      </c>
      <c r="S26" s="7">
        <f t="shared" si="6"/>
        <v>641111.45459186973</v>
      </c>
      <c r="T26" s="7">
        <f t="shared" si="6"/>
        <v>608251.99071973481</v>
      </c>
    </row>
    <row r="27" spans="1:20" x14ac:dyDescent="0.3">
      <c r="B27" s="3">
        <v>11264</v>
      </c>
      <c r="C27" s="4" t="s">
        <v>6</v>
      </c>
      <c r="D27" s="1" t="s">
        <v>15</v>
      </c>
      <c r="E27" s="7">
        <v>27416</v>
      </c>
      <c r="F27" s="7">
        <v>26554</v>
      </c>
      <c r="G27" s="7">
        <v>24330</v>
      </c>
      <c r="H27" s="7">
        <v>22338</v>
      </c>
      <c r="I27" s="7">
        <f t="shared" ref="I27:T27" si="7">+I40*9*(1+$E$2)</f>
        <v>243180.71757805566</v>
      </c>
      <c r="J27" s="7">
        <f t="shared" si="7"/>
        <v>221906.49775322349</v>
      </c>
      <c r="K27" s="7">
        <f t="shared" si="7"/>
        <v>200523.55215992589</v>
      </c>
      <c r="L27" s="7">
        <f t="shared" si="7"/>
        <v>180162.13450624628</v>
      </c>
      <c r="M27" s="7">
        <f t="shared" si="7"/>
        <v>159413.76590464625</v>
      </c>
      <c r="N27" s="7">
        <f t="shared" si="7"/>
        <v>134078.38162257423</v>
      </c>
      <c r="O27" s="7">
        <f t="shared" si="7"/>
        <v>119757.85167543644</v>
      </c>
      <c r="P27" s="7">
        <f t="shared" si="7"/>
        <v>96773.932922271604</v>
      </c>
      <c r="Q27" s="7">
        <f t="shared" si="7"/>
        <v>71467.814242360633</v>
      </c>
      <c r="R27" s="7">
        <f t="shared" si="7"/>
        <v>56519.884136862012</v>
      </c>
      <c r="S27" s="7">
        <f t="shared" si="7"/>
        <v>33779.506963671847</v>
      </c>
      <c r="T27" s="7">
        <f t="shared" si="7"/>
        <v>9663.1074354358607</v>
      </c>
    </row>
    <row r="28" spans="1:20" x14ac:dyDescent="0.3">
      <c r="B28" s="3">
        <v>11267</v>
      </c>
      <c r="C28" s="4" t="s">
        <v>7</v>
      </c>
      <c r="D28" s="1" t="s">
        <v>12</v>
      </c>
      <c r="E28" s="7">
        <v>41696</v>
      </c>
      <c r="F28" s="7">
        <v>41696</v>
      </c>
      <c r="G28" s="7">
        <v>42558</v>
      </c>
      <c r="H28" s="7">
        <v>45448</v>
      </c>
      <c r="I28" s="7">
        <f t="shared" ref="I28:T28" si="8">+I41*9*(1+$E$2)</f>
        <v>541206.27944516588</v>
      </c>
      <c r="J28" s="7">
        <f t="shared" si="8"/>
        <v>558144.26446374296</v>
      </c>
      <c r="K28" s="7">
        <f t="shared" si="8"/>
        <v>575057.00612608122</v>
      </c>
      <c r="L28" s="7">
        <f t="shared" si="8"/>
        <v>590292.24541750434</v>
      </c>
      <c r="M28" s="7">
        <f t="shared" si="8"/>
        <v>606344.80979872274</v>
      </c>
      <c r="N28" s="7">
        <f t="shared" si="8"/>
        <v>622400.21331484045</v>
      </c>
      <c r="O28" s="7">
        <f t="shared" si="8"/>
        <v>638458.66972474637</v>
      </c>
      <c r="P28" s="7">
        <f t="shared" si="8"/>
        <v>654519.29815247306</v>
      </c>
      <c r="Q28" s="7">
        <f t="shared" si="8"/>
        <v>670581.17307281564</v>
      </c>
      <c r="R28" s="7">
        <f t="shared" si="8"/>
        <v>686643.5664917148</v>
      </c>
      <c r="S28" s="7">
        <f t="shared" si="8"/>
        <v>702705.95929367561</v>
      </c>
      <c r="T28" s="7">
        <f t="shared" si="8"/>
        <v>718767.9985508523</v>
      </c>
    </row>
    <row r="29" spans="1:20" x14ac:dyDescent="0.3">
      <c r="B29" s="3">
        <v>11268</v>
      </c>
      <c r="C29" s="4" t="s">
        <v>7</v>
      </c>
      <c r="D29" s="1" t="s">
        <v>13</v>
      </c>
      <c r="E29" s="7">
        <v>60285</v>
      </c>
      <c r="F29" s="7">
        <v>61225</v>
      </c>
      <c r="G29" s="7">
        <v>68994</v>
      </c>
      <c r="H29" s="7">
        <v>72410</v>
      </c>
      <c r="I29" s="7">
        <f t="shared" ref="I29:T29" si="9">+I42*9*(1+$E$2)</f>
        <v>897455.59664402704</v>
      </c>
      <c r="J29" s="7">
        <f t="shared" si="9"/>
        <v>944556.51461340173</v>
      </c>
      <c r="K29" s="7">
        <f t="shared" si="9"/>
        <v>1018948.996147895</v>
      </c>
      <c r="L29" s="7">
        <f t="shared" si="9"/>
        <v>1063246.0456308245</v>
      </c>
      <c r="M29" s="7">
        <f t="shared" si="9"/>
        <v>1134292.3304317435</v>
      </c>
      <c r="N29" s="7">
        <f t="shared" si="9"/>
        <v>1179362.5425222714</v>
      </c>
      <c r="O29" s="7">
        <f t="shared" si="9"/>
        <v>1250331.9843174205</v>
      </c>
      <c r="P29" s="7">
        <f t="shared" si="9"/>
        <v>1299121.5922346131</v>
      </c>
      <c r="Q29" s="7">
        <f t="shared" si="9"/>
        <v>1369748.3578783632</v>
      </c>
      <c r="R29" s="7">
        <f t="shared" si="9"/>
        <v>1405620.4395337</v>
      </c>
      <c r="S29" s="7">
        <f t="shared" si="9"/>
        <v>1484924.6188451627</v>
      </c>
      <c r="T29" s="7">
        <f t="shared" si="9"/>
        <v>1533704.7854006006</v>
      </c>
    </row>
    <row r="33" spans="1:20" x14ac:dyDescent="0.3">
      <c r="B33" s="15" t="s">
        <v>19</v>
      </c>
      <c r="C33" s="31"/>
      <c r="D33" s="31"/>
      <c r="E33" s="33" t="s">
        <v>16</v>
      </c>
      <c r="F33" s="33"/>
      <c r="G33" s="33"/>
      <c r="H33" s="33"/>
      <c r="I33" s="15" t="s">
        <v>17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</row>
    <row r="34" spans="1:20" x14ac:dyDescent="0.3">
      <c r="A34" t="s">
        <v>34</v>
      </c>
      <c r="B34" s="16" t="s">
        <v>1</v>
      </c>
      <c r="C34" s="16" t="s">
        <v>3</v>
      </c>
      <c r="D34" s="16" t="s">
        <v>2</v>
      </c>
      <c r="E34" s="12">
        <f>'Actual Expenses'!$C$2</f>
        <v>45536</v>
      </c>
      <c r="F34" s="12">
        <f>+EDATE(E$21,1)</f>
        <v>45566</v>
      </c>
      <c r="G34" s="12">
        <f t="shared" ref="G34:T34" si="10">+EDATE(F$21,1)</f>
        <v>45597</v>
      </c>
      <c r="H34" s="12">
        <f t="shared" si="10"/>
        <v>45627</v>
      </c>
      <c r="I34" s="12">
        <f t="shared" si="10"/>
        <v>45658</v>
      </c>
      <c r="J34" s="12">
        <f t="shared" si="10"/>
        <v>45689</v>
      </c>
      <c r="K34" s="12">
        <f t="shared" si="10"/>
        <v>45717</v>
      </c>
      <c r="L34" s="12">
        <f t="shared" si="10"/>
        <v>45748</v>
      </c>
      <c r="M34" s="12">
        <f t="shared" si="10"/>
        <v>45778</v>
      </c>
      <c r="N34" s="12">
        <f t="shared" si="10"/>
        <v>45809</v>
      </c>
      <c r="O34" s="12">
        <f t="shared" si="10"/>
        <v>45839</v>
      </c>
      <c r="P34" s="12">
        <f t="shared" si="10"/>
        <v>45870</v>
      </c>
      <c r="Q34" s="12">
        <f t="shared" si="10"/>
        <v>45901</v>
      </c>
      <c r="R34" s="12">
        <f t="shared" si="10"/>
        <v>45931</v>
      </c>
      <c r="S34" s="12">
        <f t="shared" si="10"/>
        <v>45962</v>
      </c>
      <c r="T34" s="12">
        <f t="shared" si="10"/>
        <v>45992</v>
      </c>
    </row>
    <row r="35" spans="1:20" x14ac:dyDescent="0.3">
      <c r="B35" s="3">
        <v>11256</v>
      </c>
      <c r="C35" s="4" t="s">
        <v>4</v>
      </c>
      <c r="D35" t="s">
        <v>8</v>
      </c>
      <c r="E35" s="7">
        <v>22992</v>
      </c>
      <c r="F35" s="7">
        <v>24001</v>
      </c>
      <c r="G35" s="7">
        <v>26558</v>
      </c>
      <c r="H35" s="7">
        <v>25446</v>
      </c>
      <c r="I35" s="7">
        <f>+_xlfn.FORECAST.ETS(I$34,$E35:H35,$E$34:H$34)</f>
        <v>26859.76114072718</v>
      </c>
      <c r="J35" s="7">
        <f>+_xlfn.FORECAST.ETS(J$34,$E35:I35,$E$34:I$34)</f>
        <v>26922.593568760843</v>
      </c>
      <c r="K35" s="7">
        <f>+_xlfn.FORECAST.ETS(K$34,$E35:J35,$E$34:J$34)</f>
        <v>28560.219908935931</v>
      </c>
      <c r="L35" s="7">
        <f>+_xlfn.FORECAST.ETS(L$34,$E35:K35,$E$34:K$34)</f>
        <v>28501.43193285961</v>
      </c>
      <c r="M35" s="7">
        <f>+_xlfn.FORECAST.ETS(M$34,$E35:L35,$E$34:L$34)</f>
        <v>30101.347009231198</v>
      </c>
      <c r="N35" s="7">
        <f>+_xlfn.FORECAST.ETS(N$34,$E35:M35,$E$34:M$34)</f>
        <v>30111.719199725641</v>
      </c>
      <c r="O35" s="7">
        <f>+_xlfn.FORECAST.ETS(O$34,$E35:N35,$E$34:N$34)</f>
        <v>31672.189468797595</v>
      </c>
      <c r="P35" s="7">
        <f>+_xlfn.FORECAST.ETS(P$34,$E35:O35,$E$34:O$34)</f>
        <v>31683.438885965574</v>
      </c>
      <c r="Q35" s="7">
        <f>+_xlfn.FORECAST.ETS(Q$34,$E35:P35,$E$34:P$34)</f>
        <v>33240.958001217623</v>
      </c>
      <c r="R35" s="7">
        <f>+_xlfn.FORECAST.ETS(R$34,$E35:Q35,$E$34:Q$34)</f>
        <v>33250.813004448624</v>
      </c>
      <c r="S35" s="7">
        <f>+_xlfn.FORECAST.ETS(S$34,$E35:R35,$E$34:R$34)</f>
        <v>34807.508552965461</v>
      </c>
      <c r="T35" s="7">
        <f>+_xlfn.FORECAST.ETS(T$34,$E35:S35,$E$34:S$34)</f>
        <v>34816.870479844321</v>
      </c>
    </row>
    <row r="36" spans="1:20" x14ac:dyDescent="0.3">
      <c r="B36" s="3">
        <v>11257</v>
      </c>
      <c r="C36" s="4" t="s">
        <v>4</v>
      </c>
      <c r="D36" t="s">
        <v>9</v>
      </c>
      <c r="E36" s="7">
        <v>53326</v>
      </c>
      <c r="F36" s="7">
        <v>54223</v>
      </c>
      <c r="G36" s="7">
        <v>51000</v>
      </c>
      <c r="H36" s="7">
        <v>50000</v>
      </c>
      <c r="I36" s="7">
        <f>+_xlfn.FORECAST.ETS(I$34,$E36:H36,$E$34:H$34)</f>
        <v>48858.543636264534</v>
      </c>
      <c r="J36" s="7">
        <f>+_xlfn.FORECAST.ETS(J$34,$E36:I36,$E$34:I$34)</f>
        <v>47585.966401114296</v>
      </c>
      <c r="K36" s="7">
        <f>+_xlfn.FORECAST.ETS(K$34,$E36:J36,$E$34:J$34)</f>
        <v>45844.020740193344</v>
      </c>
      <c r="L36" s="7">
        <f>+_xlfn.FORECAST.ETS(L$34,$E36:K36,$E$34:K$34)</f>
        <v>44591.390961671706</v>
      </c>
      <c r="M36" s="7">
        <f>+_xlfn.FORECAST.ETS(M$34,$E36:L36,$E$34:L$34)</f>
        <v>42871.654516645998</v>
      </c>
      <c r="N36" s="7">
        <f>+_xlfn.FORECAST.ETS(N$34,$E36:M36,$E$34:M$34)</f>
        <v>41659.494546522692</v>
      </c>
      <c r="O36" s="7">
        <f>+_xlfn.FORECAST.ETS(O$34,$E36:N36,$E$34:N$34)</f>
        <v>39701.198358000329</v>
      </c>
      <c r="P36" s="7">
        <f>+_xlfn.FORECAST.ETS(P$34,$E36:O36,$E$34:O$34)</f>
        <v>38527.277316495951</v>
      </c>
      <c r="Q36" s="7">
        <f>+_xlfn.FORECAST.ETS(Q$34,$E36:P36,$E$34:P$34)</f>
        <v>36611.983520530979</v>
      </c>
      <c r="R36" s="7">
        <f>+_xlfn.FORECAST.ETS(R$34,$E36:Q36,$E$34:Q$34)</f>
        <v>35383.991475539748</v>
      </c>
      <c r="S36" s="7">
        <f>+_xlfn.FORECAST.ETS(S$34,$E36:R36,$E$34:R$34)</f>
        <v>33666.209348543103</v>
      </c>
      <c r="T36" s="7">
        <f>+_xlfn.FORECAST.ETS(T$34,$E36:S36,$E$34:S$34)</f>
        <v>32319.265697321396</v>
      </c>
    </row>
    <row r="37" spans="1:20" x14ac:dyDescent="0.3">
      <c r="B37" s="3">
        <v>11259</v>
      </c>
      <c r="C37" s="4" t="s">
        <v>5</v>
      </c>
      <c r="D37" t="s">
        <v>10</v>
      </c>
      <c r="E37" s="7">
        <v>35888</v>
      </c>
      <c r="F37" s="7">
        <v>36880</v>
      </c>
      <c r="G37" s="7">
        <v>37995</v>
      </c>
      <c r="H37" s="7">
        <v>40000</v>
      </c>
      <c r="I37" s="7">
        <f>+_xlfn.FORECAST.ETS(I$34,$E37:H37,$E$34:H$34)</f>
        <v>41183.971201358247</v>
      </c>
      <c r="J37" s="7">
        <f>+_xlfn.FORECAST.ETS(J$34,$E37:I37,$E$34:I$34)</f>
        <v>42613.671663537316</v>
      </c>
      <c r="K37" s="7">
        <f>+_xlfn.FORECAST.ETS(K$34,$E37:J37,$E$34:J$34)</f>
        <v>44036.167863863549</v>
      </c>
      <c r="L37" s="7">
        <f>+_xlfn.FORECAST.ETS(L$34,$E37:K37,$E$34:K$34)</f>
        <v>45413.911842965106</v>
      </c>
      <c r="M37" s="7">
        <f>+_xlfn.FORECAST.ETS(M$34,$E37:L37,$E$34:L$34)</f>
        <v>46814.567474384923</v>
      </c>
      <c r="N37" s="7">
        <f>+_xlfn.FORECAST.ETS(N$34,$E37:M37,$E$34:M$34)</f>
        <v>48215.310791421689</v>
      </c>
      <c r="O37" s="7">
        <f>+_xlfn.FORECAST.ETS(O$34,$E37:N37,$E$34:N$34)</f>
        <v>49616.147650724932</v>
      </c>
      <c r="P37" s="7">
        <f>+_xlfn.FORECAST.ETS(P$34,$E37:O37,$E$34:O$34)</f>
        <v>51017.051728752886</v>
      </c>
      <c r="Q37" s="7">
        <f>+_xlfn.FORECAST.ETS(Q$34,$E37:P37,$E$34:P$34)</f>
        <v>52417.99544853883</v>
      </c>
      <c r="R37" s="7">
        <f>+_xlfn.FORECAST.ETS(R$34,$E37:Q37,$E$34:Q$34)</f>
        <v>53818.957103207329</v>
      </c>
      <c r="S37" s="7">
        <f>+_xlfn.FORECAST.ETS(S$34,$E37:R37,$E$34:R$34)</f>
        <v>55219.921179946665</v>
      </c>
      <c r="T37" s="7">
        <f>+_xlfn.FORECAST.ETS(T$34,$E37:S37,$E$34:S$34)</f>
        <v>56620.877094019284</v>
      </c>
    </row>
    <row r="38" spans="1:20" x14ac:dyDescent="0.3">
      <c r="B38" s="3">
        <v>11260</v>
      </c>
      <c r="C38" s="4" t="s">
        <v>5</v>
      </c>
      <c r="D38" t="s">
        <v>11</v>
      </c>
      <c r="E38" s="7">
        <v>87942</v>
      </c>
      <c r="F38" s="7">
        <v>85224</v>
      </c>
      <c r="G38" s="7">
        <v>82469</v>
      </c>
      <c r="H38" s="7">
        <v>81005</v>
      </c>
      <c r="I38" s="7">
        <f>+_xlfn.FORECAST.ETS(I$34,$E38:H38,$E$34:H$34)</f>
        <v>78427.891551870402</v>
      </c>
      <c r="J38" s="7">
        <f>+_xlfn.FORECAST.ETS(J$34,$E38:I38,$E$34:I$34)</f>
        <v>76178.043433908766</v>
      </c>
      <c r="K38" s="7">
        <f>+_xlfn.FORECAST.ETS(K$34,$E38:J38,$E$34:J$34)</f>
        <v>73912.46503670323</v>
      </c>
      <c r="L38" s="7">
        <f>+_xlfn.FORECAST.ETS(L$34,$E38:K38,$E$34:K$34)</f>
        <v>71611.910305970319</v>
      </c>
      <c r="M38" s="7">
        <f>+_xlfn.FORECAST.ETS(M$34,$E38:L38,$E$34:L$34)</f>
        <v>69331.893003484322</v>
      </c>
      <c r="N38" s="7">
        <f>+_xlfn.FORECAST.ETS(N$34,$E38:M38,$E$34:M$34)</f>
        <v>67050.574891618191</v>
      </c>
      <c r="O38" s="7">
        <f>+_xlfn.FORECAST.ETS(O$34,$E38:N38,$E$34:N$34)</f>
        <v>64768.400572645376</v>
      </c>
      <c r="P38" s="7">
        <f>+_xlfn.FORECAST.ETS(P$34,$E38:O38,$E$34:O$34)</f>
        <v>62480.728984662957</v>
      </c>
      <c r="Q38" s="7">
        <f>+_xlfn.FORECAST.ETS(Q$34,$E38:P38,$E$34:P$34)</f>
        <v>60196.664077393398</v>
      </c>
      <c r="R38" s="7">
        <f>+_xlfn.FORECAST.ETS(R$34,$E38:Q38,$E$34:Q$34)</f>
        <v>57912.678103935665</v>
      </c>
      <c r="S38" s="7">
        <f>+_xlfn.FORECAST.ETS(S$34,$E38:R38,$E$34:R$34)</f>
        <v>55628.736825287509</v>
      </c>
      <c r="T38" s="7">
        <f>+_xlfn.FORECAST.ETS(T$34,$E38:S38,$E$34:S$34)</f>
        <v>53344.816264503774</v>
      </c>
    </row>
    <row r="39" spans="1:20" x14ac:dyDescent="0.3">
      <c r="B39" s="3">
        <v>11263</v>
      </c>
      <c r="C39" s="4" t="s">
        <v>6</v>
      </c>
      <c r="D39" s="1" t="s">
        <v>14</v>
      </c>
      <c r="E39" s="7">
        <v>92622</v>
      </c>
      <c r="F39" s="7">
        <v>90005</v>
      </c>
      <c r="G39" s="7">
        <v>87556</v>
      </c>
      <c r="H39" s="7">
        <v>84522</v>
      </c>
      <c r="I39" s="7">
        <f>+_xlfn.FORECAST.ETS(I$34,$E39:H39,$E$34:H$34)</f>
        <v>81916.876517986253</v>
      </c>
      <c r="J39" s="7">
        <f>+_xlfn.FORECAST.ETS(J$34,$E39:I39,$E$34:I$34)</f>
        <v>79206.407798523505</v>
      </c>
      <c r="K39" s="7">
        <f>+_xlfn.FORECAST.ETS(K$34,$E39:J39,$E$34:J$34)</f>
        <v>76483.449900994485</v>
      </c>
      <c r="L39" s="7">
        <f>+_xlfn.FORECAST.ETS(L$34,$E39:K39,$E$34:K$34)</f>
        <v>73792.487928073344</v>
      </c>
      <c r="M39" s="7">
        <f>+_xlfn.FORECAST.ETS(M$34,$E39:L39,$E$34:L$34)</f>
        <v>71086.197541592934</v>
      </c>
      <c r="N39" s="7">
        <f>+_xlfn.FORECAST.ETS(N$34,$E39:M39,$E$34:M$34)</f>
        <v>68267.760676605714</v>
      </c>
      <c r="O39" s="7">
        <f>+_xlfn.FORECAST.ETS(O$34,$E39:N39,$E$34:N$34)</f>
        <v>65623.680287821815</v>
      </c>
      <c r="P39" s="7">
        <f>+_xlfn.FORECAST.ETS(P$34,$E39:O39,$E$34:O$34)</f>
        <v>62955.10938603519</v>
      </c>
      <c r="Q39" s="7">
        <f>+_xlfn.FORECAST.ETS(Q$34,$E39:P39,$E$34:P$34)</f>
        <v>60216.206521543558</v>
      </c>
      <c r="R39" s="7">
        <f>+_xlfn.FORECAST.ETS(R$34,$E39:Q39,$E$34:Q$34)</f>
        <v>57505.992999262417</v>
      </c>
      <c r="S39" s="7">
        <f>+_xlfn.FORECAST.ETS(S$34,$E39:R39,$E$34:R$34)</f>
        <v>54795.850819817926</v>
      </c>
      <c r="T39" s="7">
        <f>+_xlfn.FORECAST.ETS(T$34,$E39:S39,$E$34:S$34)</f>
        <v>51987.349634165374</v>
      </c>
    </row>
    <row r="40" spans="1:20" x14ac:dyDescent="0.3">
      <c r="B40" s="3">
        <v>11264</v>
      </c>
      <c r="C40" s="4" t="s">
        <v>6</v>
      </c>
      <c r="D40" s="1" t="s">
        <v>15</v>
      </c>
      <c r="E40" s="7">
        <v>27416</v>
      </c>
      <c r="F40" s="7">
        <v>26554</v>
      </c>
      <c r="G40" s="7">
        <v>24330</v>
      </c>
      <c r="H40" s="7">
        <v>22338</v>
      </c>
      <c r="I40" s="7">
        <f>+_xlfn.FORECAST.ETS(I$34,$E40:H40,$E$34:H$34)</f>
        <v>20784.676716073132</v>
      </c>
      <c r="J40" s="7">
        <f>+_xlfn.FORECAST.ETS(J$34,$E40:I40,$E$34:I$34)</f>
        <v>18966.367329335342</v>
      </c>
      <c r="K40" s="7">
        <f>+_xlfn.FORECAST.ETS(K$34,$E40:J40,$E$34:J$34)</f>
        <v>17138.76514187401</v>
      </c>
      <c r="L40" s="7">
        <f>+_xlfn.FORECAST.ETS(L$34,$E40:K40,$E$34:K$34)</f>
        <v>15398.473034721901</v>
      </c>
      <c r="M40" s="7">
        <f>+_xlfn.FORECAST.ETS(M$34,$E40:L40,$E$34:L$34)</f>
        <v>13625.108196978312</v>
      </c>
      <c r="N40" s="7">
        <f>+_xlfn.FORECAST.ETS(N$34,$E40:M40,$E$34:M$34)</f>
        <v>11459.690736972156</v>
      </c>
      <c r="O40" s="7">
        <f>+_xlfn.FORECAST.ETS(O$34,$E40:N40,$E$34:N$34)</f>
        <v>10235.713818413371</v>
      </c>
      <c r="P40" s="7">
        <f>+_xlfn.FORECAST.ETS(P$34,$E40:O40,$E$34:O$34)</f>
        <v>8271.2763181428709</v>
      </c>
      <c r="Q40" s="7">
        <f>+_xlfn.FORECAST.ETS(Q$34,$E40:P40,$E$34:P$34)</f>
        <v>6108.360191654755</v>
      </c>
      <c r="R40" s="7">
        <f>+_xlfn.FORECAST.ETS(R$34,$E40:Q40,$E$34:Q$34)</f>
        <v>4830.7593279369239</v>
      </c>
      <c r="S40" s="7">
        <f>+_xlfn.FORECAST.ETS(S$34,$E40:R40,$E$34:R$34)</f>
        <v>2887.1373473223803</v>
      </c>
      <c r="T40" s="7">
        <f>+_xlfn.FORECAST.ETS(T$34,$E40:S40,$E$34:S$34)</f>
        <v>825.90661841332144</v>
      </c>
    </row>
    <row r="41" spans="1:20" x14ac:dyDescent="0.3">
      <c r="B41" s="3">
        <v>11267</v>
      </c>
      <c r="C41" s="4" t="s">
        <v>7</v>
      </c>
      <c r="D41" s="1" t="s">
        <v>12</v>
      </c>
      <c r="E41" s="7">
        <v>41696</v>
      </c>
      <c r="F41" s="7">
        <v>41696</v>
      </c>
      <c r="G41" s="7">
        <v>42558</v>
      </c>
      <c r="H41" s="7">
        <v>45448</v>
      </c>
      <c r="I41" s="7">
        <f>+_xlfn.FORECAST.ETS(I$34,$E41:H41,$E$34:H$34)</f>
        <v>46256.946961125286</v>
      </c>
      <c r="J41" s="7">
        <f>+_xlfn.FORECAST.ETS(J$34,$E41:I41,$E$34:I$34)</f>
        <v>47704.637988354101</v>
      </c>
      <c r="K41" s="7">
        <f>+_xlfn.FORECAST.ETS(K$34,$E41:J41,$E$34:J$34)</f>
        <v>49150.17146376762</v>
      </c>
      <c r="L41" s="7">
        <f>+_xlfn.FORECAST.ETS(L$34,$E41:K41,$E$34:K$34)</f>
        <v>50452.328668162765</v>
      </c>
      <c r="M41" s="7">
        <f>+_xlfn.FORECAST.ETS(M$34,$E41:L41,$E$34:L$34)</f>
        <v>51824.34271783955</v>
      </c>
      <c r="N41" s="7">
        <f>+_xlfn.FORECAST.ETS(N$34,$E41:M41,$E$34:M$34)</f>
        <v>53196.599428618836</v>
      </c>
      <c r="O41" s="7">
        <f>+_xlfn.FORECAST.ETS(O$34,$E41:N41,$E$34:N$34)</f>
        <v>54569.117070491142</v>
      </c>
      <c r="P41" s="7">
        <f>+_xlfn.FORECAST.ETS(P$34,$E41:O41,$E$34:O$34)</f>
        <v>55941.820354912226</v>
      </c>
      <c r="Q41" s="7">
        <f>+_xlfn.FORECAST.ETS(Q$34,$E41:P41,$E$34:P$34)</f>
        <v>57314.630177163723</v>
      </c>
      <c r="R41" s="7">
        <f>+_xlfn.FORECAST.ETS(R$34,$E41:Q41,$E$34:Q$34)</f>
        <v>58687.484315531168</v>
      </c>
      <c r="S41" s="7">
        <f>+_xlfn.FORECAST.ETS(S$34,$E41:R41,$E$34:R$34)</f>
        <v>60060.338401168861</v>
      </c>
      <c r="T41" s="7">
        <f>+_xlfn.FORECAST.ETS(T$34,$E41:S41,$E$34:S$34)</f>
        <v>61433.162269303619</v>
      </c>
    </row>
    <row r="42" spans="1:20" x14ac:dyDescent="0.3">
      <c r="B42" s="3">
        <v>11268</v>
      </c>
      <c r="C42" s="4" t="s">
        <v>7</v>
      </c>
      <c r="D42" s="1" t="s">
        <v>13</v>
      </c>
      <c r="E42" s="7">
        <v>60285</v>
      </c>
      <c r="F42" s="7">
        <v>61225</v>
      </c>
      <c r="G42" s="7">
        <v>68994</v>
      </c>
      <c r="H42" s="7">
        <v>72410</v>
      </c>
      <c r="I42" s="7">
        <f>+_xlfn.FORECAST.ETS(I$34,$E42:H42,$E$34:H$34)</f>
        <v>76705.606550771539</v>
      </c>
      <c r="J42" s="7">
        <f>+_xlfn.FORECAST.ETS(J$34,$E42:I42,$E$34:I$34)</f>
        <v>80731.326035333477</v>
      </c>
      <c r="K42" s="7">
        <f>+_xlfn.FORECAST.ETS(K$34,$E42:J42,$E$34:J$34)</f>
        <v>87089.65779041838</v>
      </c>
      <c r="L42" s="7">
        <f>+_xlfn.FORECAST.ETS(L$34,$E42:K42,$E$34:K$34)</f>
        <v>90875.730395796971</v>
      </c>
      <c r="M42" s="7">
        <f>+_xlfn.FORECAST.ETS(M$34,$E42:L42,$E$34:L$34)</f>
        <v>96948.062430063554</v>
      </c>
      <c r="N42" s="7">
        <f>+_xlfn.FORECAST.ETS(N$34,$E42:M42,$E$34:M$34)</f>
        <v>100800.21730959584</v>
      </c>
      <c r="O42" s="7">
        <f>+_xlfn.FORECAST.ETS(O$34,$E42:N42,$E$34:N$34)</f>
        <v>106865.98156559149</v>
      </c>
      <c r="P42" s="7">
        <f>+_xlfn.FORECAST.ETS(P$34,$E42:O42,$E$34:O$34)</f>
        <v>111036.0335243259</v>
      </c>
      <c r="Q42" s="7">
        <f>+_xlfn.FORECAST.ETS(Q$34,$E42:P42,$E$34:P$34)</f>
        <v>117072.50922037291</v>
      </c>
      <c r="R42" s="7">
        <f>+_xlfn.FORECAST.ETS(R$34,$E42:Q42,$E$34:Q$34)</f>
        <v>120138.49910544444</v>
      </c>
      <c r="S42" s="7">
        <f>+_xlfn.FORECAST.ETS(S$34,$E42:R42,$E$34:R$34)</f>
        <v>126916.63408933014</v>
      </c>
      <c r="T42" s="7">
        <f>+_xlfn.FORECAST.ETS(T$34,$E42:S42,$E$34:S$34)</f>
        <v>131085.87909406843</v>
      </c>
    </row>
    <row r="44" spans="1:20" x14ac:dyDescent="0.3">
      <c r="B44" s="15" t="s">
        <v>20</v>
      </c>
      <c r="C44" s="30"/>
      <c r="D44" s="30"/>
      <c r="E44" s="33" t="s">
        <v>16</v>
      </c>
      <c r="F44" s="33"/>
      <c r="G44" s="33"/>
      <c r="H44" s="33"/>
      <c r="I44" s="15" t="s">
        <v>17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</row>
    <row r="45" spans="1:20" x14ac:dyDescent="0.3">
      <c r="B45" s="16" t="s">
        <v>1</v>
      </c>
      <c r="C45" s="16" t="s">
        <v>3</v>
      </c>
      <c r="D45" s="16" t="s">
        <v>2</v>
      </c>
      <c r="E45" s="12">
        <f>'Actual Expenses'!$C$2</f>
        <v>45536</v>
      </c>
      <c r="F45" s="12">
        <f>+EDATE(E$21,1)</f>
        <v>45566</v>
      </c>
      <c r="G45" s="12">
        <f t="shared" ref="G45:T45" si="11">+EDATE(F$21,1)</f>
        <v>45597</v>
      </c>
      <c r="H45" s="12">
        <f t="shared" si="11"/>
        <v>45627</v>
      </c>
      <c r="I45" s="12">
        <f t="shared" si="11"/>
        <v>45658</v>
      </c>
      <c r="J45" s="12">
        <f t="shared" si="11"/>
        <v>45689</v>
      </c>
      <c r="K45" s="12">
        <f t="shared" si="11"/>
        <v>45717</v>
      </c>
      <c r="L45" s="12">
        <f t="shared" si="11"/>
        <v>45748</v>
      </c>
      <c r="M45" s="12">
        <f t="shared" si="11"/>
        <v>45778</v>
      </c>
      <c r="N45" s="12">
        <f t="shared" si="11"/>
        <v>45809</v>
      </c>
      <c r="O45" s="12">
        <f t="shared" si="11"/>
        <v>45839</v>
      </c>
      <c r="P45" s="12">
        <f t="shared" si="11"/>
        <v>45870</v>
      </c>
      <c r="Q45" s="12">
        <f t="shared" si="11"/>
        <v>45901</v>
      </c>
      <c r="R45" s="12">
        <f t="shared" si="11"/>
        <v>45931</v>
      </c>
      <c r="S45" s="12">
        <f t="shared" si="11"/>
        <v>45962</v>
      </c>
      <c r="T45" s="12">
        <f t="shared" si="11"/>
        <v>45992</v>
      </c>
    </row>
    <row r="46" spans="1:20" x14ac:dyDescent="0.3">
      <c r="B46" s="3">
        <v>11256</v>
      </c>
      <c r="C46" s="4" t="s">
        <v>4</v>
      </c>
      <c r="D46" t="s">
        <v>8</v>
      </c>
      <c r="E46" s="7">
        <v>22992</v>
      </c>
      <c r="F46" s="7">
        <v>24001</v>
      </c>
      <c r="G46" s="7">
        <v>26558</v>
      </c>
      <c r="H46" s="7">
        <v>25446</v>
      </c>
      <c r="I46" s="7">
        <f>+I35*(1-$E$3)</f>
        <v>18801.832798509025</v>
      </c>
      <c r="J46" s="7">
        <f t="shared" ref="J46:T46" si="12">+J35*(1-$E$3)</f>
        <v>18845.81549813259</v>
      </c>
      <c r="K46" s="7">
        <f t="shared" si="12"/>
        <v>19992.153936255152</v>
      </c>
      <c r="L46" s="7">
        <f t="shared" si="12"/>
        <v>19951.002353001724</v>
      </c>
      <c r="M46" s="7">
        <f t="shared" si="12"/>
        <v>21070.942906461838</v>
      </c>
      <c r="N46" s="7">
        <f t="shared" si="12"/>
        <v>21078.203439807949</v>
      </c>
      <c r="O46" s="7">
        <f t="shared" si="12"/>
        <v>22170.532628158315</v>
      </c>
      <c r="P46" s="7">
        <f t="shared" si="12"/>
        <v>22178.407220175901</v>
      </c>
      <c r="Q46" s="7">
        <f t="shared" si="12"/>
        <v>23268.670600852336</v>
      </c>
      <c r="R46" s="7">
        <f t="shared" si="12"/>
        <v>23275.569103114034</v>
      </c>
      <c r="S46" s="7">
        <f t="shared" si="12"/>
        <v>24365.25598707582</v>
      </c>
      <c r="T46" s="7">
        <f t="shared" si="12"/>
        <v>24371.809335891023</v>
      </c>
    </row>
    <row r="47" spans="1:20" x14ac:dyDescent="0.3">
      <c r="B47" s="3">
        <v>11257</v>
      </c>
      <c r="C47" s="4" t="s">
        <v>4</v>
      </c>
      <c r="D47" t="s">
        <v>9</v>
      </c>
      <c r="E47" s="7">
        <v>53326</v>
      </c>
      <c r="F47" s="7">
        <v>54223</v>
      </c>
      <c r="G47" s="7">
        <v>51000</v>
      </c>
      <c r="H47" s="7">
        <v>50000</v>
      </c>
      <c r="I47" s="7">
        <f t="shared" ref="I47:T47" si="13">+I36*(1-$E$3)</f>
        <v>34200.980545385173</v>
      </c>
      <c r="J47" s="7">
        <f t="shared" si="13"/>
        <v>33310.176480780006</v>
      </c>
      <c r="K47" s="7">
        <f t="shared" si="13"/>
        <v>32090.814518135339</v>
      </c>
      <c r="L47" s="7">
        <f t="shared" si="13"/>
        <v>31213.973673170192</v>
      </c>
      <c r="M47" s="7">
        <f t="shared" si="13"/>
        <v>30010.158161652198</v>
      </c>
      <c r="N47" s="7">
        <f t="shared" si="13"/>
        <v>29161.646182565881</v>
      </c>
      <c r="O47" s="7">
        <f t="shared" si="13"/>
        <v>27790.83885060023</v>
      </c>
      <c r="P47" s="7">
        <f t="shared" si="13"/>
        <v>26969.094121547165</v>
      </c>
      <c r="Q47" s="7">
        <f t="shared" si="13"/>
        <v>25628.388464371685</v>
      </c>
      <c r="R47" s="7">
        <f t="shared" si="13"/>
        <v>24768.79403287782</v>
      </c>
      <c r="S47" s="7">
        <f t="shared" si="13"/>
        <v>23566.346543980169</v>
      </c>
      <c r="T47" s="7">
        <f t="shared" si="13"/>
        <v>22623.485988124976</v>
      </c>
    </row>
    <row r="48" spans="1:20" x14ac:dyDescent="0.3">
      <c r="B48" s="3">
        <v>11259</v>
      </c>
      <c r="C48" s="4" t="s">
        <v>5</v>
      </c>
      <c r="D48" t="s">
        <v>10</v>
      </c>
      <c r="E48" s="7">
        <v>35888</v>
      </c>
      <c r="F48" s="7">
        <v>36880</v>
      </c>
      <c r="G48" s="7">
        <v>37995</v>
      </c>
      <c r="H48" s="7">
        <v>40000</v>
      </c>
      <c r="I48" s="7">
        <f t="shared" ref="I48:T48" si="14">+I37*(1-$E$3)</f>
        <v>28828.77984095077</v>
      </c>
      <c r="J48" s="7">
        <f t="shared" si="14"/>
        <v>29829.570164476117</v>
      </c>
      <c r="K48" s="7">
        <f t="shared" si="14"/>
        <v>30825.317504704482</v>
      </c>
      <c r="L48" s="7">
        <f t="shared" si="14"/>
        <v>31789.738290075573</v>
      </c>
      <c r="M48" s="7">
        <f t="shared" si="14"/>
        <v>32770.197232069448</v>
      </c>
      <c r="N48" s="7">
        <f t="shared" si="14"/>
        <v>33750.717553995179</v>
      </c>
      <c r="O48" s="7">
        <f t="shared" si="14"/>
        <v>34731.303355507451</v>
      </c>
      <c r="P48" s="7">
        <f t="shared" si="14"/>
        <v>35711.936210127016</v>
      </c>
      <c r="Q48" s="7">
        <f t="shared" si="14"/>
        <v>36692.596813977179</v>
      </c>
      <c r="R48" s="7">
        <f t="shared" si="14"/>
        <v>37673.269972245129</v>
      </c>
      <c r="S48" s="7">
        <f t="shared" si="14"/>
        <v>38653.944825962666</v>
      </c>
      <c r="T48" s="7">
        <f t="shared" si="14"/>
        <v>39634.6139658135</v>
      </c>
    </row>
    <row r="49" spans="1:20" x14ac:dyDescent="0.3">
      <c r="B49" s="3">
        <v>11260</v>
      </c>
      <c r="C49" s="4" t="s">
        <v>5</v>
      </c>
      <c r="D49" t="s">
        <v>11</v>
      </c>
      <c r="E49" s="7">
        <v>87942</v>
      </c>
      <c r="F49" s="7">
        <v>85224</v>
      </c>
      <c r="G49" s="7">
        <v>82469</v>
      </c>
      <c r="H49" s="7">
        <v>81005</v>
      </c>
      <c r="I49" s="7">
        <f t="shared" ref="I49:T49" si="15">+I38*(1-$E$3)</f>
        <v>54899.524086309277</v>
      </c>
      <c r="J49" s="7">
        <f t="shared" si="15"/>
        <v>53324.630403736133</v>
      </c>
      <c r="K49" s="7">
        <f t="shared" si="15"/>
        <v>51738.725525692258</v>
      </c>
      <c r="L49" s="7">
        <f t="shared" si="15"/>
        <v>50128.337214179221</v>
      </c>
      <c r="M49" s="7">
        <f t="shared" si="15"/>
        <v>48532.325102439019</v>
      </c>
      <c r="N49" s="7">
        <f t="shared" si="15"/>
        <v>46935.402424132728</v>
      </c>
      <c r="O49" s="7">
        <f t="shared" si="15"/>
        <v>45337.880400851762</v>
      </c>
      <c r="P49" s="7">
        <f t="shared" si="15"/>
        <v>43736.510289264064</v>
      </c>
      <c r="Q49" s="7">
        <f t="shared" si="15"/>
        <v>42137.664854175375</v>
      </c>
      <c r="R49" s="7">
        <f t="shared" si="15"/>
        <v>40538.874672754966</v>
      </c>
      <c r="S49" s="7">
        <f t="shared" si="15"/>
        <v>38940.115777701256</v>
      </c>
      <c r="T49" s="7">
        <f t="shared" si="15"/>
        <v>37341.371385152641</v>
      </c>
    </row>
    <row r="50" spans="1:20" x14ac:dyDescent="0.3">
      <c r="B50" s="3">
        <v>11263</v>
      </c>
      <c r="C50" s="4" t="s">
        <v>6</v>
      </c>
      <c r="D50" s="1" t="s">
        <v>14</v>
      </c>
      <c r="E50" s="7">
        <v>92622</v>
      </c>
      <c r="F50" s="7">
        <v>90005</v>
      </c>
      <c r="G50" s="7">
        <v>87556</v>
      </c>
      <c r="H50" s="7">
        <v>84522</v>
      </c>
      <c r="I50" s="7">
        <f t="shared" ref="I50:T50" si="16">+I39*(1-$E$3)</f>
        <v>57341.813562590374</v>
      </c>
      <c r="J50" s="7">
        <f t="shared" si="16"/>
        <v>55444.485458966454</v>
      </c>
      <c r="K50" s="7">
        <f t="shared" si="16"/>
        <v>53538.414930696134</v>
      </c>
      <c r="L50" s="7">
        <f t="shared" si="16"/>
        <v>51654.741549651335</v>
      </c>
      <c r="M50" s="7">
        <f t="shared" si="16"/>
        <v>49760.338279115051</v>
      </c>
      <c r="N50" s="7">
        <f t="shared" si="16"/>
        <v>47787.432473623994</v>
      </c>
      <c r="O50" s="7">
        <f t="shared" si="16"/>
        <v>45936.576201475269</v>
      </c>
      <c r="P50" s="7">
        <f t="shared" si="16"/>
        <v>44068.576570224628</v>
      </c>
      <c r="Q50" s="7">
        <f t="shared" si="16"/>
        <v>42151.344565080486</v>
      </c>
      <c r="R50" s="7">
        <f t="shared" si="16"/>
        <v>40254.195099483688</v>
      </c>
      <c r="S50" s="7">
        <f t="shared" si="16"/>
        <v>38357.095573872546</v>
      </c>
      <c r="T50" s="7">
        <f t="shared" si="16"/>
        <v>36391.144743915756</v>
      </c>
    </row>
    <row r="51" spans="1:20" x14ac:dyDescent="0.3">
      <c r="B51" s="3">
        <v>11264</v>
      </c>
      <c r="C51" s="4" t="s">
        <v>6</v>
      </c>
      <c r="D51" s="1" t="s">
        <v>15</v>
      </c>
      <c r="E51" s="7">
        <v>27416</v>
      </c>
      <c r="F51" s="7">
        <v>26554</v>
      </c>
      <c r="G51" s="7">
        <v>24330</v>
      </c>
      <c r="H51" s="7">
        <v>22338</v>
      </c>
      <c r="I51" s="7">
        <f t="shared" ref="I51:T51" si="17">+I40*(1-$E$3)</f>
        <v>14549.273701251192</v>
      </c>
      <c r="J51" s="7">
        <f t="shared" si="17"/>
        <v>13276.457130534738</v>
      </c>
      <c r="K51" s="7">
        <f t="shared" si="17"/>
        <v>11997.135599311807</v>
      </c>
      <c r="L51" s="7">
        <f t="shared" si="17"/>
        <v>10778.931124305331</v>
      </c>
      <c r="M51" s="7">
        <f t="shared" si="17"/>
        <v>9537.5757378848175</v>
      </c>
      <c r="N51" s="7">
        <f t="shared" si="17"/>
        <v>8021.7835158805083</v>
      </c>
      <c r="O51" s="7">
        <f t="shared" si="17"/>
        <v>7164.9996728893593</v>
      </c>
      <c r="P51" s="7">
        <f t="shared" si="17"/>
        <v>5789.8934227000091</v>
      </c>
      <c r="Q51" s="7">
        <f t="shared" si="17"/>
        <v>4275.8521341583282</v>
      </c>
      <c r="R51" s="7">
        <f t="shared" si="17"/>
        <v>3381.5315295558466</v>
      </c>
      <c r="S51" s="7">
        <f t="shared" si="17"/>
        <v>2020.9961431256661</v>
      </c>
      <c r="T51" s="7">
        <f t="shared" si="17"/>
        <v>578.13463288932496</v>
      </c>
    </row>
    <row r="52" spans="1:20" x14ac:dyDescent="0.3">
      <c r="B52" s="3">
        <v>11267</v>
      </c>
      <c r="C52" s="4" t="s">
        <v>7</v>
      </c>
      <c r="D52" s="1" t="s">
        <v>12</v>
      </c>
      <c r="E52" s="7">
        <v>41696</v>
      </c>
      <c r="F52" s="7">
        <v>41696</v>
      </c>
      <c r="G52" s="7">
        <v>42558</v>
      </c>
      <c r="H52" s="7">
        <v>45448</v>
      </c>
      <c r="I52" s="7">
        <f t="shared" ref="I52:T52" si="18">+I41*(1-$E$3)</f>
        <v>32379.862872787697</v>
      </c>
      <c r="J52" s="7">
        <f t="shared" si="18"/>
        <v>33393.24659184787</v>
      </c>
      <c r="K52" s="7">
        <f t="shared" si="18"/>
        <v>34405.120024637334</v>
      </c>
      <c r="L52" s="7">
        <f t="shared" si="18"/>
        <v>35316.63006771393</v>
      </c>
      <c r="M52" s="7">
        <f t="shared" si="18"/>
        <v>36277.039902487682</v>
      </c>
      <c r="N52" s="7">
        <f t="shared" si="18"/>
        <v>37237.619600033184</v>
      </c>
      <c r="O52" s="7">
        <f t="shared" si="18"/>
        <v>38198.381949343799</v>
      </c>
      <c r="P52" s="7">
        <f t="shared" si="18"/>
        <v>39159.274248438553</v>
      </c>
      <c r="Q52" s="7">
        <f t="shared" si="18"/>
        <v>40120.241124014603</v>
      </c>
      <c r="R52" s="7">
        <f t="shared" si="18"/>
        <v>41081.239020871813</v>
      </c>
      <c r="S52" s="7">
        <f t="shared" si="18"/>
        <v>42042.2368808182</v>
      </c>
      <c r="T52" s="7">
        <f t="shared" si="18"/>
        <v>43003.213588512532</v>
      </c>
    </row>
    <row r="53" spans="1:20" x14ac:dyDescent="0.3">
      <c r="A53" t="s">
        <v>34</v>
      </c>
      <c r="B53" s="3">
        <v>11268</v>
      </c>
      <c r="C53" s="4" t="s">
        <v>7</v>
      </c>
      <c r="D53" s="1" t="s">
        <v>13</v>
      </c>
      <c r="E53" s="7">
        <v>60285</v>
      </c>
      <c r="F53" s="7">
        <v>61225</v>
      </c>
      <c r="G53" s="7">
        <v>68994</v>
      </c>
      <c r="H53" s="7">
        <v>72410</v>
      </c>
      <c r="I53" s="7">
        <f t="shared" ref="I53:T53" si="19">+I42*(1-$E$3)</f>
        <v>53693.924585540073</v>
      </c>
      <c r="J53" s="7">
        <f t="shared" si="19"/>
        <v>56511.928224733434</v>
      </c>
      <c r="K53" s="7">
        <f t="shared" si="19"/>
        <v>60962.76045329286</v>
      </c>
      <c r="L53" s="7">
        <f t="shared" si="19"/>
        <v>63613.011277057878</v>
      </c>
      <c r="M53" s="7">
        <f t="shared" si="19"/>
        <v>67863.643701044479</v>
      </c>
      <c r="N53" s="7">
        <f t="shared" si="19"/>
        <v>70560.152116717087</v>
      </c>
      <c r="O53" s="7">
        <f t="shared" si="19"/>
        <v>74806.187095914036</v>
      </c>
      <c r="P53" s="7">
        <f t="shared" si="19"/>
        <v>77725.223467028132</v>
      </c>
      <c r="Q53" s="7">
        <f t="shared" si="19"/>
        <v>81950.756454261034</v>
      </c>
      <c r="R53" s="7">
        <f t="shared" si="19"/>
        <v>84096.949373811105</v>
      </c>
      <c r="S53" s="7">
        <f t="shared" si="19"/>
        <v>88841.643862531098</v>
      </c>
      <c r="T53" s="7">
        <f t="shared" si="19"/>
        <v>91760.115365847887</v>
      </c>
    </row>
    <row r="54" spans="1:20" x14ac:dyDescent="0.3"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0" x14ac:dyDescent="0.3"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1:20" x14ac:dyDescent="0.3"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36F4-FE34-4C45-9B7A-00D49BFFA63E}">
  <dimension ref="A2:Q40"/>
  <sheetViews>
    <sheetView tabSelected="1" topLeftCell="B18" zoomScale="115" zoomScaleNormal="115" workbookViewId="0">
      <selection activeCell="D21" sqref="D21"/>
    </sheetView>
  </sheetViews>
  <sheetFormatPr defaultColWidth="11.19921875" defaultRowHeight="15.6" x14ac:dyDescent="0.3"/>
  <cols>
    <col min="1" max="1" width="4.796875" customWidth="1"/>
    <col min="2" max="2" width="35.796875" bestFit="1" customWidth="1"/>
    <col min="3" max="14" width="12.5" bestFit="1" customWidth="1"/>
  </cols>
  <sheetData>
    <row r="2" spans="1:17" x14ac:dyDescent="0.3">
      <c r="B2" s="5" t="s">
        <v>31</v>
      </c>
      <c r="C2" s="17">
        <v>1</v>
      </c>
    </row>
    <row r="4" spans="1:17" x14ac:dyDescent="0.3">
      <c r="A4" t="s">
        <v>34</v>
      </c>
      <c r="B4" s="11" t="s">
        <v>32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7" x14ac:dyDescent="0.3">
      <c r="B5" s="13" t="s">
        <v>33</v>
      </c>
      <c r="C5" s="12">
        <v>45658</v>
      </c>
      <c r="D5" s="12">
        <f>+EDATE(C5,1)</f>
        <v>45689</v>
      </c>
      <c r="E5" s="12">
        <f t="shared" ref="E5:N5" si="0">+EDATE(D5,1)</f>
        <v>45717</v>
      </c>
      <c r="F5" s="12">
        <f t="shared" si="0"/>
        <v>45748</v>
      </c>
      <c r="G5" s="12">
        <f t="shared" si="0"/>
        <v>45778</v>
      </c>
      <c r="H5" s="12">
        <f t="shared" si="0"/>
        <v>45809</v>
      </c>
      <c r="I5" s="12">
        <f t="shared" si="0"/>
        <v>45839</v>
      </c>
      <c r="J5" s="12">
        <f t="shared" si="0"/>
        <v>45870</v>
      </c>
      <c r="K5" s="12">
        <f t="shared" si="0"/>
        <v>45901</v>
      </c>
      <c r="L5" s="12">
        <f t="shared" si="0"/>
        <v>45931</v>
      </c>
      <c r="M5" s="12">
        <f t="shared" si="0"/>
        <v>45962</v>
      </c>
      <c r="N5" s="12">
        <f t="shared" si="0"/>
        <v>45992</v>
      </c>
    </row>
    <row r="6" spans="1:17" x14ac:dyDescent="0.3">
      <c r="B6" t="s">
        <v>21</v>
      </c>
      <c r="C6" s="8">
        <f>+C31</f>
        <v>8268438.8816474956</v>
      </c>
      <c r="D6" s="8">
        <f t="shared" ref="D6:Q6" si="1">+D31</f>
        <v>8136334.748710365</v>
      </c>
      <c r="E6" s="8">
        <f t="shared" si="1"/>
        <v>8124943.0788849154</v>
      </c>
      <c r="F6" s="8">
        <f t="shared" si="1"/>
        <v>7981736.2600828195</v>
      </c>
      <c r="G6" s="8">
        <f t="shared" si="1"/>
        <v>7968651.7666257909</v>
      </c>
      <c r="H6" s="8">
        <f t="shared" si="1"/>
        <v>9019249.1941118725</v>
      </c>
      <c r="I6" s="8">
        <f t="shared" si="1"/>
        <v>8969255.7369009405</v>
      </c>
      <c r="J6" s="8">
        <f t="shared" si="1"/>
        <v>8823146.6694426648</v>
      </c>
      <c r="K6" s="8">
        <f t="shared" si="1"/>
        <v>8778186.3178997412</v>
      </c>
      <c r="L6" s="8">
        <f t="shared" si="1"/>
        <v>8625107.0963185392</v>
      </c>
      <c r="M6" s="8">
        <f t="shared" si="1"/>
        <v>8604863.8829562441</v>
      </c>
      <c r="N6" s="8">
        <f t="shared" si="1"/>
        <v>8436774.4462638255</v>
      </c>
      <c r="O6" s="8"/>
      <c r="P6" s="8"/>
      <c r="Q6" s="8"/>
    </row>
    <row r="7" spans="1:17" x14ac:dyDescent="0.3">
      <c r="B7" t="s">
        <v>22</v>
      </c>
      <c r="C7" s="8">
        <f>+C35</f>
        <v>2976637.9973930982</v>
      </c>
      <c r="D7" s="8">
        <f>+D35</f>
        <v>2929080.5095357313</v>
      </c>
      <c r="E7" s="8">
        <f t="shared" ref="D7:N7" si="2">+E35</f>
        <v>2924979.5083985697</v>
      </c>
      <c r="F7" s="8">
        <f t="shared" si="2"/>
        <v>2873425.0536298151</v>
      </c>
      <c r="G7" s="8">
        <f t="shared" si="2"/>
        <v>2868714.6359852846</v>
      </c>
      <c r="H7" s="8">
        <f t="shared" si="2"/>
        <v>3246929.7098802738</v>
      </c>
      <c r="I7" s="8">
        <f t="shared" si="2"/>
        <v>3228932.0652843383</v>
      </c>
      <c r="J7" s="8">
        <f t="shared" si="2"/>
        <v>3176332.8009993592</v>
      </c>
      <c r="K7" s="8">
        <f t="shared" si="2"/>
        <v>3160147.0744439065</v>
      </c>
      <c r="L7" s="8">
        <f t="shared" si="2"/>
        <v>3105038.5546746738</v>
      </c>
      <c r="M7" s="8">
        <f t="shared" si="2"/>
        <v>3097750.9978642478</v>
      </c>
      <c r="N7" s="8">
        <f t="shared" si="2"/>
        <v>3037238.8006549771</v>
      </c>
    </row>
    <row r="8" spans="1:17" x14ac:dyDescent="0.3">
      <c r="B8" s="14" t="s">
        <v>23</v>
      </c>
      <c r="C8" s="24">
        <f>+C6-C7</f>
        <v>5291800.8842543978</v>
      </c>
      <c r="D8" s="24">
        <f t="shared" ref="D8:N8" si="3">+D6-D7</f>
        <v>5207254.2391746342</v>
      </c>
      <c r="E8" s="24">
        <f t="shared" si="3"/>
        <v>5199963.5704863463</v>
      </c>
      <c r="F8" s="24">
        <f t="shared" si="3"/>
        <v>5108311.2064530049</v>
      </c>
      <c r="G8" s="24">
        <f t="shared" si="3"/>
        <v>5099937.1306405067</v>
      </c>
      <c r="H8" s="24">
        <f t="shared" si="3"/>
        <v>5772319.4842315987</v>
      </c>
      <c r="I8" s="24">
        <f t="shared" si="3"/>
        <v>5740323.6716166027</v>
      </c>
      <c r="J8" s="24">
        <f t="shared" si="3"/>
        <v>5646813.8684433056</v>
      </c>
      <c r="K8" s="24">
        <f t="shared" si="3"/>
        <v>5618039.2434558347</v>
      </c>
      <c r="L8" s="24">
        <f t="shared" si="3"/>
        <v>5520068.5416438654</v>
      </c>
      <c r="M8" s="24">
        <f t="shared" si="3"/>
        <v>5507112.8850919958</v>
      </c>
      <c r="N8" s="24">
        <f t="shared" si="3"/>
        <v>5399535.645608848</v>
      </c>
    </row>
    <row r="9" spans="1:17" x14ac:dyDescent="0.3">
      <c r="B9" s="5"/>
      <c r="C9" s="7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7" x14ac:dyDescent="0.3">
      <c r="B10" t="s">
        <v>25</v>
      </c>
    </row>
    <row r="11" spans="1:17" x14ac:dyDescent="0.3">
      <c r="B11" s="10" t="str" cm="1">
        <f t="array" ref="B11:B14">+_xlfn.UNIQUE(Forecast!C35:C42)</f>
        <v>Marketing</v>
      </c>
      <c r="C11" s="22">
        <f>+SUMIFS(Forecast!I$10:I$17,Forecast!$C$10:$C$17,'Income Statement'!$B11)</f>
        <v>885904.16589080309</v>
      </c>
      <c r="D11" s="22">
        <f>+SUMIFS(Forecast!J$10:J$17,Forecast!$C$10:$C$17,'Income Statement'!$B11)</f>
        <v>871750.15164753911</v>
      </c>
      <c r="E11" s="22">
        <f>+SUMIFS(Forecast!K$10:K$17,Forecast!$C$10:$C$17,'Income Statement'!$B11)</f>
        <v>870529.61559481244</v>
      </c>
      <c r="F11" s="22">
        <f>+SUMIFS(Forecast!L$10:L$17,Forecast!$C$10:$C$17,'Income Statement'!$B11)</f>
        <v>855186.02786601637</v>
      </c>
      <c r="G11" s="22">
        <f>+SUMIFS(Forecast!M$10:M$17,Forecast!$C$10:$C$17,'Income Statement'!$B11)</f>
        <v>853784.11785276327</v>
      </c>
      <c r="H11" s="22">
        <f>+SUMIFS(Forecast!N$10:N$17,Forecast!$C$10:$C$17,'Income Statement'!$B11)</f>
        <v>839723.20083110547</v>
      </c>
      <c r="I11" s="22">
        <f>+SUMIFS(Forecast!O$10:O$17,Forecast!$C$10:$C$17,'Income Statement'!$B11)</f>
        <v>835068.63757353579</v>
      </c>
      <c r="J11" s="22">
        <f>+SUMIFS(Forecast!P$10:P$17,Forecast!$C$10:$C$17,'Income Statement'!$B11)</f>
        <v>821465.37956879986</v>
      </c>
      <c r="K11" s="22">
        <f>+SUMIFS(Forecast!Q$10:Q$17,Forecast!$C$10:$C$17,'Income Statement'!$B11)</f>
        <v>817279.41580445867</v>
      </c>
      <c r="L11" s="22">
        <f>+SUMIFS(Forecast!R$10:R$17,Forecast!$C$10:$C$17,'Income Statement'!$B11)</f>
        <v>803027.21241586399</v>
      </c>
      <c r="M11" s="22">
        <f>+SUMIFS(Forecast!S$10:S$17,Forecast!$C$10:$C$17,'Income Statement'!$B11)</f>
        <v>801142.49944765028</v>
      </c>
      <c r="N11" s="22">
        <f>+SUMIFS(Forecast!T$10:T$17,Forecast!$C$10:$C$17,'Income Statement'!$B11)</f>
        <v>785492.79327283893</v>
      </c>
      <c r="O11" s="7"/>
    </row>
    <row r="12" spans="1:17" x14ac:dyDescent="0.3">
      <c r="B12" s="10" t="str">
        <v>Engineering</v>
      </c>
      <c r="C12" s="22">
        <f>+SUMIFS(Forecast!I$10:I$17,Forecast!$C$10:$C$17,'Income Statement'!$B12)</f>
        <v>1399458.7942127753</v>
      </c>
      <c r="D12" s="22">
        <f>+SUMIFS(Forecast!J$10:J$17,Forecast!$C$10:$C$17,'Income Statement'!$B12)</f>
        <v>1389863.0666401191</v>
      </c>
      <c r="E12" s="22">
        <f>+SUMIFS(Forecast!K$10:K$17,Forecast!$C$10:$C$17,'Income Statement'!$B12)</f>
        <v>1379999.0049366313</v>
      </c>
      <c r="F12" s="22">
        <f>+SUMIFS(Forecast!L$10:L$17,Forecast!$C$10:$C$17,'Income Statement'!$B12)</f>
        <v>1369202.1191425445</v>
      </c>
      <c r="G12" s="22">
        <f>+SUMIFS(Forecast!M$10:M$17,Forecast!$C$10:$C$17,'Income Statement'!$B12)</f>
        <v>1358913.5875910702</v>
      </c>
      <c r="H12" s="22">
        <f>+SUMIFS(Forecast!N$10:N$17,Forecast!$C$10:$C$17,'Income Statement'!$B12)</f>
        <v>1348610.8624915667</v>
      </c>
      <c r="I12" s="22">
        <f>+SUMIFS(Forecast!O$10:O$17,Forecast!$C$10:$C$17,'Income Statement'!$B12)</f>
        <v>1338299.2142134327</v>
      </c>
      <c r="J12" s="22">
        <f>+SUMIFS(Forecast!P$10:P$17,Forecast!$C$10:$C$17,'Income Statement'!$B12)</f>
        <v>1327924.0343469654</v>
      </c>
      <c r="K12" s="22">
        <f>+SUMIFS(Forecast!Q$10:Q$17,Forecast!$C$10:$C$17,'Income Statement'!$B12)</f>
        <v>1317591.5164534072</v>
      </c>
      <c r="L12" s="22">
        <f>+SUMIFS(Forecast!R$10:R$17,Forecast!$C$10:$C$17,'Income Statement'!$B12)</f>
        <v>1307260.1319235731</v>
      </c>
      <c r="M12" s="22">
        <f>+SUMIFS(Forecast!S$10:S$17,Forecast!$C$10:$C$17,'Income Statement'!$B12)</f>
        <v>1296929.2986612399</v>
      </c>
      <c r="N12" s="22">
        <f>+SUMIFS(Forecast!T$10:T$17,Forecast!$C$10:$C$17,'Income Statement'!$B12)</f>
        <v>1286598.6122947198</v>
      </c>
      <c r="O12" s="7"/>
    </row>
    <row r="13" spans="1:17" x14ac:dyDescent="0.3">
      <c r="B13" s="10" t="str">
        <v>Support</v>
      </c>
      <c r="C13" s="22">
        <f>+SUMIFS(Forecast!I$10:I$17,Forecast!$C$10:$C$17,'Income Statement'!$B13)</f>
        <v>1201608.1728384949</v>
      </c>
      <c r="D13" s="22">
        <f>+SUMIFS(Forecast!J$10:J$17,Forecast!$C$10:$C$17,'Income Statement'!$B13)</f>
        <v>1148621.4689959486</v>
      </c>
      <c r="E13" s="22">
        <f>+SUMIFS(Forecast!K$10:K$17,Forecast!$C$10:$C$17,'Income Statement'!$B13)</f>
        <v>1095379.9160015613</v>
      </c>
      <c r="F13" s="22">
        <f>+SUMIFS(Forecast!L$10:L$17,Forecast!$C$10:$C$17,'Income Statement'!$B13)</f>
        <v>1043534.2432647045</v>
      </c>
      <c r="G13" s="22">
        <f>+SUMIFS(Forecast!M$10:M$17,Forecast!$C$10:$C$17,'Income Statement'!$B13)</f>
        <v>991122.2771412835</v>
      </c>
      <c r="H13" s="22">
        <f>+SUMIFS(Forecast!N$10:N$17,Forecast!$C$10:$C$17,'Income Statement'!$B13)</f>
        <v>932811.18153886124</v>
      </c>
      <c r="I13" s="22">
        <f>+SUMIFS(Forecast!O$10:O$17,Forecast!$C$10:$C$17,'Income Statement'!$B13)</f>
        <v>887554.91104295175</v>
      </c>
      <c r="J13" s="22">
        <f>+SUMIFS(Forecast!P$10:P$17,Forecast!$C$10:$C$17,'Income Statement'!$B13)</f>
        <v>833348.71273888345</v>
      </c>
      <c r="K13" s="22">
        <f>+SUMIFS(Forecast!Q$10:Q$17,Forecast!$C$10:$C$17,'Income Statement'!$B13)</f>
        <v>775997.43054442026</v>
      </c>
      <c r="L13" s="22">
        <f>+SUMIFS(Forecast!R$10:R$17,Forecast!$C$10:$C$17,'Income Statement'!$B13)</f>
        <v>729340.00222823233</v>
      </c>
      <c r="M13" s="22">
        <f>+SUMIFS(Forecast!S$10:S$17,Forecast!$C$10:$C$17,'Income Statement'!$B13)</f>
        <v>674890.96155554161</v>
      </c>
      <c r="N13" s="22">
        <f>+SUMIFS(Forecast!T$10:T$17,Forecast!$C$10:$C$17,'Income Statement'!$B13)</f>
        <v>617915.09815517068</v>
      </c>
      <c r="O13" s="7"/>
    </row>
    <row r="14" spans="1:17" x14ac:dyDescent="0.3">
      <c r="B14" s="10" t="str">
        <v>HR</v>
      </c>
      <c r="C14" s="22">
        <f>+SUMIFS(Forecast!I$10:I$17,Forecast!$C$10:$C$17,'Income Statement'!$B14)</f>
        <v>1438661.8760891929</v>
      </c>
      <c r="D14" s="22">
        <f>+SUMIFS(Forecast!J$10:J$17,Forecast!$C$10:$C$17,'Income Statement'!$B14)</f>
        <v>1502700.7790771448</v>
      </c>
      <c r="E14" s="22">
        <f>+SUMIFS(Forecast!K$10:K$17,Forecast!$C$10:$C$17,'Income Statement'!$B14)</f>
        <v>1594006.0022739763</v>
      </c>
      <c r="F14" s="22">
        <f>+SUMIFS(Forecast!L$10:L$17,Forecast!$C$10:$C$17,'Income Statement'!$B14)</f>
        <v>1653538.2910483289</v>
      </c>
      <c r="G14" s="22">
        <f>+SUMIFS(Forecast!M$10:M$17,Forecast!$C$10:$C$17,'Income Statement'!$B14)</f>
        <v>1740637.1402304661</v>
      </c>
      <c r="H14" s="22">
        <f>+SUMIFS(Forecast!N$10:N$17,Forecast!$C$10:$C$17,'Income Statement'!$B14)</f>
        <v>1801762.7558371117</v>
      </c>
      <c r="I14" s="22">
        <f>+SUMIFS(Forecast!O$10:O$17,Forecast!$C$10:$C$17,'Income Statement'!$B14)</f>
        <v>1888790.6540421669</v>
      </c>
      <c r="J14" s="22">
        <f>+SUMIFS(Forecast!P$10:P$17,Forecast!$C$10:$C$17,'Income Statement'!$B14)</f>
        <v>1953640.8903870862</v>
      </c>
      <c r="K14" s="22">
        <f>+SUMIFS(Forecast!Q$10:Q$17,Forecast!$C$10:$C$17,'Income Statement'!$B14)</f>
        <v>2040329.5309511789</v>
      </c>
      <c r="L14" s="22">
        <f>+SUMIFS(Forecast!R$10:R$17,Forecast!$C$10:$C$17,'Income Statement'!$B14)</f>
        <v>2092264.0060254149</v>
      </c>
      <c r="M14" s="22">
        <f>+SUMIFS(Forecast!S$10:S$17,Forecast!$C$10:$C$17,'Income Statement'!$B14)</f>
        <v>2187630.5781388385</v>
      </c>
      <c r="N14" s="22">
        <f>+SUMIFS(Forecast!T$10:T$17,Forecast!$C$10:$C$17,'Income Statement'!$B14)</f>
        <v>2252472.7839514529</v>
      </c>
      <c r="O14" s="7"/>
    </row>
    <row r="15" spans="1:17" x14ac:dyDescent="0.3">
      <c r="B15" t="s">
        <v>24</v>
      </c>
      <c r="C15" s="22">
        <f>SUM(C11:C14)</f>
        <v>4925633.009031266</v>
      </c>
      <c r="D15" s="22">
        <f>SUM(D11:D14)</f>
        <v>4912935.4663607515</v>
      </c>
      <c r="E15" s="22">
        <f>SUM(E11:E14)</f>
        <v>4939914.5388069805</v>
      </c>
      <c r="F15" s="22">
        <f t="shared" ref="D15:N15" si="4">SUM(F11:F14)</f>
        <v>4921460.6813215939</v>
      </c>
      <c r="G15" s="22">
        <f t="shared" si="4"/>
        <v>4944457.1228155829</v>
      </c>
      <c r="H15" s="22">
        <f t="shared" si="4"/>
        <v>4922908.0006986447</v>
      </c>
      <c r="I15" s="22">
        <f t="shared" si="4"/>
        <v>4949713.4168720869</v>
      </c>
      <c r="J15" s="22">
        <f t="shared" si="4"/>
        <v>4936379.0170417354</v>
      </c>
      <c r="K15" s="22">
        <f t="shared" si="4"/>
        <v>4951197.8937534653</v>
      </c>
      <c r="L15" s="22">
        <f t="shared" si="4"/>
        <v>4931891.3525930839</v>
      </c>
      <c r="M15" s="22">
        <f t="shared" si="4"/>
        <v>4960593.3378032707</v>
      </c>
      <c r="N15" s="22">
        <f t="shared" si="4"/>
        <v>4942479.2876741821</v>
      </c>
      <c r="O15" s="7"/>
    </row>
    <row r="16" spans="1:17" x14ac:dyDescent="0.3">
      <c r="B16" s="14" t="s">
        <v>26</v>
      </c>
      <c r="C16" s="26">
        <f>+C8-C15</f>
        <v>366167.87522313185</v>
      </c>
      <c r="D16" s="26">
        <f t="shared" ref="D16:N16" si="5">+D8-D15</f>
        <v>294318.77281388268</v>
      </c>
      <c r="E16" s="26">
        <f t="shared" si="5"/>
        <v>260049.03167936578</v>
      </c>
      <c r="F16" s="26">
        <f t="shared" si="5"/>
        <v>186850.52513141092</v>
      </c>
      <c r="G16" s="26">
        <f t="shared" si="5"/>
        <v>155480.00782492384</v>
      </c>
      <c r="H16" s="26">
        <f t="shared" si="5"/>
        <v>849411.48353295401</v>
      </c>
      <c r="I16" s="26">
        <f t="shared" si="5"/>
        <v>790610.25474451575</v>
      </c>
      <c r="J16" s="26">
        <f t="shared" si="5"/>
        <v>710434.85140157025</v>
      </c>
      <c r="K16" s="26">
        <f t="shared" si="5"/>
        <v>666841.34970236942</v>
      </c>
      <c r="L16" s="26">
        <f t="shared" si="5"/>
        <v>588177.18905078154</v>
      </c>
      <c r="M16" s="26">
        <f t="shared" si="5"/>
        <v>546519.54728872515</v>
      </c>
      <c r="N16" s="26">
        <f t="shared" si="5"/>
        <v>457056.35793466587</v>
      </c>
    </row>
    <row r="17" spans="1:14" x14ac:dyDescent="0.3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3">
      <c r="B18" t="s">
        <v>27</v>
      </c>
      <c r="C18" s="8">
        <f>+C38</f>
        <v>68462.673940041263</v>
      </c>
      <c r="D18" s="8">
        <f t="shared" ref="D18:N18" si="6">+D38</f>
        <v>67368.851719321814</v>
      </c>
      <c r="E18" s="8">
        <f t="shared" si="6"/>
        <v>67274.5286931671</v>
      </c>
      <c r="F18" s="8">
        <f t="shared" si="6"/>
        <v>66088.77623348574</v>
      </c>
      <c r="G18" s="8">
        <f t="shared" si="6"/>
        <v>65980.436627661547</v>
      </c>
      <c r="H18" s="8">
        <f t="shared" si="6"/>
        <v>74679.383327246294</v>
      </c>
      <c r="I18" s="8">
        <f t="shared" si="6"/>
        <v>74265.437501539782</v>
      </c>
      <c r="J18" s="8">
        <f t="shared" si="6"/>
        <v>73055.654422985259</v>
      </c>
      <c r="K18" s="8">
        <f t="shared" si="6"/>
        <v>72683.382712209845</v>
      </c>
      <c r="L18" s="8">
        <f t="shared" si="6"/>
        <v>71415.886757517495</v>
      </c>
      <c r="M18" s="8">
        <f t="shared" si="6"/>
        <v>71248.272950877697</v>
      </c>
      <c r="N18" s="8">
        <f t="shared" si="6"/>
        <v>69856.492415064466</v>
      </c>
    </row>
    <row r="19" spans="1:14" x14ac:dyDescent="0.3">
      <c r="B19" s="14" t="s">
        <v>28</v>
      </c>
      <c r="C19" s="24">
        <f>+C16-C18</f>
        <v>297705.20128309057</v>
      </c>
      <c r="D19" s="24">
        <f t="shared" ref="D19:N19" si="7">+D16-D18</f>
        <v>226949.92109456088</v>
      </c>
      <c r="E19" s="24">
        <f t="shared" si="7"/>
        <v>192774.5029861987</v>
      </c>
      <c r="F19" s="24">
        <f t="shared" si="7"/>
        <v>120761.74889792518</v>
      </c>
      <c r="G19" s="24">
        <f t="shared" si="7"/>
        <v>89499.571197262296</v>
      </c>
      <c r="H19" s="24">
        <f t="shared" si="7"/>
        <v>774732.10020570771</v>
      </c>
      <c r="I19" s="24">
        <f t="shared" si="7"/>
        <v>716344.81724297593</v>
      </c>
      <c r="J19" s="24">
        <f t="shared" si="7"/>
        <v>637379.19697858498</v>
      </c>
      <c r="K19" s="24">
        <f t="shared" si="7"/>
        <v>594157.96699015959</v>
      </c>
      <c r="L19" s="24">
        <f t="shared" si="7"/>
        <v>516761.30229326407</v>
      </c>
      <c r="M19" s="24">
        <f t="shared" si="7"/>
        <v>475271.27433784748</v>
      </c>
      <c r="N19" s="24">
        <f t="shared" si="7"/>
        <v>387199.86551960139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x14ac:dyDescent="0.3">
      <c r="B21" t="s">
        <v>29</v>
      </c>
      <c r="C21" s="8">
        <f>IF(C19&gt;0,C19*$C$40,0)</f>
        <v>59541.040256618115</v>
      </c>
      <c r="D21" s="8">
        <f t="shared" ref="D21:N21" si="8">IF(D19&gt;0,D19*$C$40,0)</f>
        <v>45389.984218912177</v>
      </c>
      <c r="E21" s="8">
        <f t="shared" si="8"/>
        <v>38554.900597239743</v>
      </c>
      <c r="F21" s="8">
        <f t="shared" si="8"/>
        <v>24152.349779585038</v>
      </c>
      <c r="G21" s="8">
        <f t="shared" si="8"/>
        <v>17899.914239452461</v>
      </c>
      <c r="H21" s="8">
        <f t="shared" si="8"/>
        <v>154946.42004114154</v>
      </c>
      <c r="I21" s="8">
        <f t="shared" si="8"/>
        <v>143268.9634485952</v>
      </c>
      <c r="J21" s="8">
        <f t="shared" si="8"/>
        <v>127475.839395717</v>
      </c>
      <c r="K21" s="8">
        <f t="shared" si="8"/>
        <v>118831.59339803192</v>
      </c>
      <c r="L21" s="8">
        <f t="shared" si="8"/>
        <v>103352.26045865282</v>
      </c>
      <c r="M21" s="8">
        <f t="shared" si="8"/>
        <v>95054.2548675695</v>
      </c>
      <c r="N21" s="8">
        <f t="shared" si="8"/>
        <v>77439.973103920274</v>
      </c>
    </row>
    <row r="22" spans="1:14" x14ac:dyDescent="0.3">
      <c r="B22" s="18" t="s">
        <v>30</v>
      </c>
      <c r="C22" s="25">
        <f>+C19-C21</f>
        <v>238164.16102647246</v>
      </c>
      <c r="D22" s="25">
        <f t="shared" ref="D22:N22" si="9">+D19-D21</f>
        <v>181559.93687564871</v>
      </c>
      <c r="E22" s="25">
        <f t="shared" si="9"/>
        <v>154219.60238895897</v>
      </c>
      <c r="F22" s="25">
        <f t="shared" si="9"/>
        <v>96609.399118340138</v>
      </c>
      <c r="G22" s="25">
        <f t="shared" si="9"/>
        <v>71599.656957809842</v>
      </c>
      <c r="H22" s="25">
        <f t="shared" si="9"/>
        <v>619785.68016456615</v>
      </c>
      <c r="I22" s="25">
        <f t="shared" si="9"/>
        <v>573075.85379438079</v>
      </c>
      <c r="J22" s="25">
        <f t="shared" si="9"/>
        <v>509903.35758286796</v>
      </c>
      <c r="K22" s="25">
        <f t="shared" si="9"/>
        <v>475326.3735921277</v>
      </c>
      <c r="L22" s="25">
        <f t="shared" si="9"/>
        <v>413409.04183461127</v>
      </c>
      <c r="M22" s="25">
        <f t="shared" si="9"/>
        <v>380217.019470278</v>
      </c>
      <c r="N22" s="25">
        <f t="shared" si="9"/>
        <v>309759.8924156811</v>
      </c>
    </row>
    <row r="25" spans="1:14" x14ac:dyDescent="0.3">
      <c r="A25" t="s">
        <v>34</v>
      </c>
      <c r="B25" s="27" t="s">
        <v>35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spans="1:14" x14ac:dyDescent="0.3">
      <c r="B26" s="5" t="s">
        <v>21</v>
      </c>
    </row>
    <row r="27" spans="1:14" x14ac:dyDescent="0.3">
      <c r="B27" t="s">
        <v>36</v>
      </c>
      <c r="C27" s="19">
        <v>30</v>
      </c>
      <c r="D27" s="19">
        <v>30</v>
      </c>
      <c r="E27" s="19">
        <v>30</v>
      </c>
      <c r="F27" s="19">
        <v>30</v>
      </c>
      <c r="G27" s="19">
        <v>30</v>
      </c>
      <c r="H27" s="19">
        <v>27</v>
      </c>
      <c r="I27" s="19">
        <v>27</v>
      </c>
      <c r="J27" s="19">
        <v>27</v>
      </c>
      <c r="K27" s="19">
        <v>27</v>
      </c>
      <c r="L27" s="19">
        <v>27</v>
      </c>
      <c r="M27" s="19">
        <v>27</v>
      </c>
      <c r="N27" s="19">
        <v>27</v>
      </c>
    </row>
    <row r="28" spans="1:14" x14ac:dyDescent="0.3">
      <c r="B28" t="s">
        <v>37</v>
      </c>
      <c r="C28" s="19">
        <v>280</v>
      </c>
      <c r="D28" s="19">
        <v>280</v>
      </c>
      <c r="E28" s="19">
        <v>280</v>
      </c>
      <c r="F28" s="19">
        <v>280</v>
      </c>
      <c r="G28" s="19">
        <v>280</v>
      </c>
      <c r="H28" s="19">
        <v>290</v>
      </c>
      <c r="I28" s="19">
        <v>290</v>
      </c>
      <c r="J28" s="19">
        <v>290</v>
      </c>
      <c r="K28" s="19">
        <v>290</v>
      </c>
      <c r="L28" s="19">
        <v>290</v>
      </c>
      <c r="M28" s="19">
        <v>290</v>
      </c>
      <c r="N28" s="19">
        <v>290</v>
      </c>
    </row>
    <row r="30" spans="1:14" x14ac:dyDescent="0.3">
      <c r="B30" t="s">
        <v>44</v>
      </c>
      <c r="C30" s="22">
        <f>+C11/C27</f>
        <v>29530.138863026768</v>
      </c>
      <c r="D30" s="22">
        <f t="shared" ref="D30:N30" si="10">+D11/D27</f>
        <v>29058.338388251304</v>
      </c>
      <c r="E30" s="22">
        <f t="shared" si="10"/>
        <v>29017.653853160413</v>
      </c>
      <c r="F30" s="22">
        <f t="shared" si="10"/>
        <v>28506.200928867212</v>
      </c>
      <c r="G30" s="22">
        <f t="shared" si="10"/>
        <v>28459.470595092109</v>
      </c>
      <c r="H30" s="22">
        <f t="shared" si="10"/>
        <v>31100.859290040942</v>
      </c>
      <c r="I30" s="22">
        <f t="shared" si="10"/>
        <v>30928.468058279104</v>
      </c>
      <c r="J30" s="22">
        <f t="shared" si="10"/>
        <v>30424.643687733329</v>
      </c>
      <c r="K30" s="22">
        <f t="shared" si="10"/>
        <v>30269.607992757727</v>
      </c>
      <c r="L30" s="22">
        <f t="shared" si="10"/>
        <v>29741.748607994963</v>
      </c>
      <c r="M30" s="22">
        <f t="shared" si="10"/>
        <v>29671.944423987046</v>
      </c>
      <c r="N30" s="22">
        <f t="shared" si="10"/>
        <v>29092.325676771812</v>
      </c>
    </row>
    <row r="31" spans="1:14" x14ac:dyDescent="0.3">
      <c r="B31" t="s">
        <v>21</v>
      </c>
      <c r="C31" s="22">
        <f>+C30*C28</f>
        <v>8268438.8816474956</v>
      </c>
      <c r="D31" s="22">
        <f>+D30*D28</f>
        <v>8136334.748710365</v>
      </c>
      <c r="E31" s="22">
        <f>+E30*E28</f>
        <v>8124943.0788849154</v>
      </c>
      <c r="F31" s="22">
        <f t="shared" ref="D31:N31" si="11">+F30*F28</f>
        <v>7981736.2600828195</v>
      </c>
      <c r="G31" s="22">
        <f t="shared" si="11"/>
        <v>7968651.7666257909</v>
      </c>
      <c r="H31" s="22">
        <f t="shared" si="11"/>
        <v>9019249.1941118725</v>
      </c>
      <c r="I31" s="22">
        <f t="shared" si="11"/>
        <v>8969255.7369009405</v>
      </c>
      <c r="J31" s="22">
        <f t="shared" si="11"/>
        <v>8823146.6694426648</v>
      </c>
      <c r="K31" s="22">
        <f t="shared" si="11"/>
        <v>8778186.3178997412</v>
      </c>
      <c r="L31" s="22">
        <f t="shared" si="11"/>
        <v>8625107.0963185392</v>
      </c>
      <c r="M31" s="22">
        <f t="shared" si="11"/>
        <v>8604863.8829562441</v>
      </c>
      <c r="N31" s="22">
        <f t="shared" si="11"/>
        <v>8436774.4462638255</v>
      </c>
    </row>
    <row r="33" spans="1:14" x14ac:dyDescent="0.3">
      <c r="B33" s="5" t="s">
        <v>39</v>
      </c>
    </row>
    <row r="34" spans="1:14" x14ac:dyDescent="0.3">
      <c r="B34" t="s">
        <v>40</v>
      </c>
      <c r="C34" s="23">
        <v>0.36</v>
      </c>
      <c r="D34" s="23">
        <v>0.36</v>
      </c>
      <c r="E34" s="23">
        <v>0.36</v>
      </c>
      <c r="F34" s="23">
        <v>0.36</v>
      </c>
      <c r="G34" s="23">
        <v>0.36</v>
      </c>
      <c r="H34" s="23">
        <v>0.36</v>
      </c>
      <c r="I34" s="23">
        <v>0.36</v>
      </c>
      <c r="J34" s="23">
        <v>0.36</v>
      </c>
      <c r="K34" s="23">
        <v>0.36</v>
      </c>
      <c r="L34" s="23">
        <v>0.36</v>
      </c>
      <c r="M34" s="23">
        <v>0.36</v>
      </c>
      <c r="N34" s="23">
        <v>0.36</v>
      </c>
    </row>
    <row r="35" spans="1:14" x14ac:dyDescent="0.3">
      <c r="B35" t="s">
        <v>22</v>
      </c>
      <c r="C35" s="22">
        <f>C34*C31</f>
        <v>2976637.9973930982</v>
      </c>
      <c r="D35" s="22">
        <f t="shared" ref="D35:N35" si="12">D34*D31</f>
        <v>2929080.5095357313</v>
      </c>
      <c r="E35" s="22">
        <f t="shared" si="12"/>
        <v>2924979.5083985697</v>
      </c>
      <c r="F35" s="22">
        <f t="shared" si="12"/>
        <v>2873425.0536298151</v>
      </c>
      <c r="G35" s="22">
        <f t="shared" si="12"/>
        <v>2868714.6359852846</v>
      </c>
      <c r="H35" s="22">
        <f t="shared" si="12"/>
        <v>3246929.7098802738</v>
      </c>
      <c r="I35" s="22">
        <f t="shared" si="12"/>
        <v>3228932.0652843383</v>
      </c>
      <c r="J35" s="22">
        <f t="shared" si="12"/>
        <v>3176332.8009993592</v>
      </c>
      <c r="K35" s="22">
        <f t="shared" si="12"/>
        <v>3160147.0744439065</v>
      </c>
      <c r="L35" s="22">
        <f t="shared" si="12"/>
        <v>3105038.5546746738</v>
      </c>
      <c r="M35" s="22">
        <f t="shared" si="12"/>
        <v>3097750.9978642478</v>
      </c>
      <c r="N35" s="22">
        <f t="shared" si="12"/>
        <v>3037238.8006549771</v>
      </c>
    </row>
    <row r="36" spans="1:14" x14ac:dyDescent="0.3">
      <c r="C36" s="9"/>
    </row>
    <row r="37" spans="1:14" x14ac:dyDescent="0.3">
      <c r="B37" t="s">
        <v>41</v>
      </c>
      <c r="C37" s="23">
        <v>2.3E-2</v>
      </c>
      <c r="D37" s="23">
        <v>2.3E-2</v>
      </c>
      <c r="E37" s="23">
        <v>2.3E-2</v>
      </c>
      <c r="F37" s="23">
        <v>2.3E-2</v>
      </c>
      <c r="G37" s="23">
        <v>2.3E-2</v>
      </c>
      <c r="H37" s="23">
        <v>2.3E-2</v>
      </c>
      <c r="I37" s="23">
        <v>2.3E-2</v>
      </c>
      <c r="J37" s="23">
        <v>2.3E-2</v>
      </c>
      <c r="K37" s="23">
        <v>2.3E-2</v>
      </c>
      <c r="L37" s="23">
        <v>2.3E-2</v>
      </c>
      <c r="M37" s="23">
        <v>2.3E-2</v>
      </c>
      <c r="N37" s="23">
        <v>2.3E-2</v>
      </c>
    </row>
    <row r="38" spans="1:14" x14ac:dyDescent="0.3">
      <c r="B38" t="s">
        <v>27</v>
      </c>
      <c r="C38" s="22">
        <f>C35*C37</f>
        <v>68462.673940041263</v>
      </c>
      <c r="D38" s="22">
        <f t="shared" ref="D38:N38" si="13">D35*D37</f>
        <v>67368.851719321814</v>
      </c>
      <c r="E38" s="22">
        <f t="shared" si="13"/>
        <v>67274.5286931671</v>
      </c>
      <c r="F38" s="22">
        <f t="shared" si="13"/>
        <v>66088.77623348574</v>
      </c>
      <c r="G38" s="22">
        <f t="shared" si="13"/>
        <v>65980.436627661547</v>
      </c>
      <c r="H38" s="22">
        <f t="shared" si="13"/>
        <v>74679.383327246294</v>
      </c>
      <c r="I38" s="22">
        <f t="shared" si="13"/>
        <v>74265.437501539782</v>
      </c>
      <c r="J38" s="22">
        <f t="shared" si="13"/>
        <v>73055.654422985259</v>
      </c>
      <c r="K38" s="22">
        <f t="shared" si="13"/>
        <v>72683.382712209845</v>
      </c>
      <c r="L38" s="22">
        <f t="shared" si="13"/>
        <v>71415.886757517495</v>
      </c>
      <c r="M38" s="22">
        <f t="shared" si="13"/>
        <v>71248.272950877697</v>
      </c>
      <c r="N38" s="22">
        <f t="shared" si="13"/>
        <v>69856.492415064466</v>
      </c>
    </row>
    <row r="40" spans="1:14" x14ac:dyDescent="0.3">
      <c r="A40" t="s">
        <v>34</v>
      </c>
      <c r="B40" t="s">
        <v>38</v>
      </c>
      <c r="C40" s="20">
        <v>0.2</v>
      </c>
    </row>
  </sheetData>
  <dataValidations count="1">
    <dataValidation type="list" allowBlank="1" showInputMessage="1" showErrorMessage="1" sqref="C2" xr:uid="{F6159B46-F4EE-440C-A97E-B14E779BFB31}">
      <formula1>"1,2,3"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80A0-0518-6C47-BEB6-4001203097BB}">
  <dimension ref="B2:N4"/>
  <sheetViews>
    <sheetView zoomScale="115" zoomScaleNormal="115" workbookViewId="0">
      <selection activeCell="B19" sqref="B19"/>
    </sheetView>
  </sheetViews>
  <sheetFormatPr defaultColWidth="11.19921875" defaultRowHeight="15.6" x14ac:dyDescent="0.3"/>
  <cols>
    <col min="3" max="14" width="8.69921875" customWidth="1"/>
  </cols>
  <sheetData>
    <row r="2" spans="2:14" x14ac:dyDescent="0.3">
      <c r="B2" s="13" t="s">
        <v>33</v>
      </c>
      <c r="C2" s="12">
        <f>'Income Statement'!C5</f>
        <v>45658</v>
      </c>
      <c r="D2" s="12">
        <f>EDATE(C2,1)</f>
        <v>45689</v>
      </c>
      <c r="E2" s="12">
        <f t="shared" ref="E2:N2" si="0">EDATE(D2,1)</f>
        <v>45717</v>
      </c>
      <c r="F2" s="12">
        <f t="shared" si="0"/>
        <v>45748</v>
      </c>
      <c r="G2" s="12">
        <f t="shared" si="0"/>
        <v>45778</v>
      </c>
      <c r="H2" s="12">
        <f t="shared" si="0"/>
        <v>45809</v>
      </c>
      <c r="I2" s="12">
        <f t="shared" si="0"/>
        <v>45839</v>
      </c>
      <c r="J2" s="12">
        <f t="shared" si="0"/>
        <v>45870</v>
      </c>
      <c r="K2" s="12">
        <f t="shared" si="0"/>
        <v>45901</v>
      </c>
      <c r="L2" s="12">
        <f t="shared" si="0"/>
        <v>45931</v>
      </c>
      <c r="M2" s="12">
        <f t="shared" si="0"/>
        <v>45962</v>
      </c>
      <c r="N2" s="12">
        <f t="shared" si="0"/>
        <v>45992</v>
      </c>
    </row>
    <row r="3" spans="2:14" x14ac:dyDescent="0.3">
      <c r="B3" t="s">
        <v>21</v>
      </c>
      <c r="C3" s="8">
        <f>'Income Statement'!C6</f>
        <v>8268438.8816474956</v>
      </c>
      <c r="D3" s="8">
        <f>'Income Statement'!D6</f>
        <v>8136334.748710365</v>
      </c>
      <c r="E3" s="8">
        <f>'Income Statement'!E6</f>
        <v>8124943.0788849154</v>
      </c>
      <c r="F3" s="8">
        <f>'Income Statement'!F6</f>
        <v>7981736.2600828195</v>
      </c>
      <c r="G3" s="8">
        <f>'Income Statement'!G6</f>
        <v>7968651.7666257909</v>
      </c>
      <c r="H3" s="8">
        <f>'Income Statement'!H6</f>
        <v>9019249.1941118725</v>
      </c>
      <c r="I3" s="8">
        <f>'Income Statement'!I6</f>
        <v>8969255.7369009405</v>
      </c>
      <c r="J3" s="8">
        <f>'Income Statement'!J6</f>
        <v>8823146.6694426648</v>
      </c>
      <c r="K3" s="8">
        <f>'Income Statement'!K6</f>
        <v>8778186.3178997412</v>
      </c>
      <c r="L3" s="8">
        <f>'Income Statement'!L6</f>
        <v>8625107.0963185392</v>
      </c>
      <c r="M3" s="8">
        <f>'Income Statement'!M6</f>
        <v>8604863.8829562441</v>
      </c>
      <c r="N3" s="8">
        <f>'Income Statement'!N6</f>
        <v>8436774.4462638255</v>
      </c>
    </row>
    <row r="4" spans="2:14" x14ac:dyDescent="0.3">
      <c r="B4" t="s">
        <v>42</v>
      </c>
      <c r="C4" s="32">
        <f>'Income Statement'!C22/Visuals!C3</f>
        <v>2.8804005742256632E-2</v>
      </c>
      <c r="D4" s="32">
        <f>'Income Statement'!D22/Visuals!D3</f>
        <v>2.2314708340192928E-2</v>
      </c>
      <c r="E4" s="32">
        <f>'Income Statement'!E22/Visuals!E3</f>
        <v>1.8981007114959925E-2</v>
      </c>
      <c r="F4" s="32">
        <f>'Income Statement'!F22/Visuals!F3</f>
        <v>1.2103807488790379E-2</v>
      </c>
      <c r="G4" s="32">
        <f>'Income Statement'!G22/Visuals!G3</f>
        <v>8.9851657538459195E-3</v>
      </c>
      <c r="H4" s="32">
        <f>'Income Statement'!H22/Visuals!H3</f>
        <v>6.8718101343644783E-2</v>
      </c>
      <c r="I4" s="32">
        <f>'Income Statement'!I22/Visuals!I3</f>
        <v>6.3893356439448573E-2</v>
      </c>
      <c r="J4" s="32">
        <f>'Income Statement'!J22/Visuals!J3</f>
        <v>5.7791554043731798E-2</v>
      </c>
      <c r="K4" s="32">
        <f>'Income Statement'!K22/Visuals!K3</f>
        <v>5.4148585639254662E-2</v>
      </c>
      <c r="L4" s="32">
        <f>'Income Statement'!L22/Visuals!L3</f>
        <v>4.7930887955126601E-2</v>
      </c>
      <c r="M4" s="32">
        <f>'Income Statement'!M22/Visuals!M3</f>
        <v>4.4186290991003165E-2</v>
      </c>
      <c r="N4" s="32">
        <f>'Income Statement'!N22/Visuals!N3</f>
        <v>3.6715440763366192E-2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 Expenses</vt:lpstr>
      <vt:lpstr>Forecast</vt:lpstr>
      <vt:lpstr>Income Statement</vt:lpstr>
      <vt:lpstr>Visuals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NOUHAIDI HICHAM</cp:lastModifiedBy>
  <dcterms:created xsi:type="dcterms:W3CDTF">2023-03-06T12:19:00Z</dcterms:created>
  <dcterms:modified xsi:type="dcterms:W3CDTF">2025-11-29T10:29:31Z</dcterms:modified>
</cp:coreProperties>
</file>